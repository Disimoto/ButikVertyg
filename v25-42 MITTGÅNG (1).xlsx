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10"/>
  <workbookPr filterPrivacy="1"/>
  <xr:revisionPtr revIDLastSave="0" documentId="8_{C527439E-B137-4D17-AF0D-E264C284A684}" xr6:coauthVersionLast="47" xr6:coauthVersionMax="47" xr10:uidLastSave="{00000000-0000-0000-0000-000000000000}"/>
  <bookViews>
    <workbookView xWindow="0" yWindow="0" windowWidth="12000" windowHeight="24000" firstSheet="1" activeTab="1" xr2:uid="{00000000-000D-0000-FFFF-FFFF00000000}"/>
  </bookViews>
  <sheets>
    <sheet name="V25" sheetId="1" r:id="rId1"/>
    <sheet name="V26" sheetId="2" r:id="rId2"/>
    <sheet name="V27" sheetId="3" r:id="rId3"/>
    <sheet name="V28" sheetId="4" r:id="rId4"/>
    <sheet name="V29" sheetId="5" r:id="rId5"/>
    <sheet name="V30" sheetId="6" r:id="rId6"/>
    <sheet name="V31" sheetId="7" r:id="rId7"/>
    <sheet name="V32" sheetId="8" r:id="rId8"/>
    <sheet name="V33" sheetId="9" r:id="rId9"/>
    <sheet name="V34" sheetId="10" r:id="rId10"/>
    <sheet name="V35" sheetId="11" r:id="rId11"/>
    <sheet name="V36" sheetId="12" r:id="rId12"/>
    <sheet name="V37" sheetId="13" r:id="rId13"/>
    <sheet name="V38" sheetId="14" r:id="rId14"/>
    <sheet name="V39" sheetId="15" r:id="rId15"/>
    <sheet name="V40" sheetId="16" r:id="rId16"/>
    <sheet name="V41" sheetId="17" r:id="rId17"/>
    <sheet name="V42" sheetId="18" r:id="rId1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2" i="18" l="1"/>
  <c r="D112" i="18" s="1"/>
  <c r="G100" i="18"/>
  <c r="F100" i="18"/>
  <c r="E100" i="18"/>
  <c r="K96" i="18"/>
  <c r="J96" i="18"/>
  <c r="I96" i="18"/>
  <c r="H96" i="18"/>
  <c r="G90" i="18"/>
  <c r="F90" i="18"/>
  <c r="E90" i="18"/>
  <c r="K86" i="18"/>
  <c r="J86" i="18"/>
  <c r="I86" i="18"/>
  <c r="H86" i="18"/>
  <c r="G80" i="18"/>
  <c r="F80" i="18"/>
  <c r="E80" i="18"/>
  <c r="K76" i="18"/>
  <c r="J76" i="18"/>
  <c r="I76" i="18"/>
  <c r="H76" i="18"/>
  <c r="G70" i="18"/>
  <c r="F70" i="18"/>
  <c r="E70" i="18"/>
  <c r="K66" i="18"/>
  <c r="J66" i="18"/>
  <c r="I66" i="18"/>
  <c r="H66" i="18"/>
  <c r="G60" i="18"/>
  <c r="F60" i="18"/>
  <c r="E60" i="18"/>
  <c r="K56" i="18"/>
  <c r="J56" i="18"/>
  <c r="I56" i="18"/>
  <c r="H56" i="18"/>
  <c r="G50" i="18"/>
  <c r="F50" i="18"/>
  <c r="E50" i="18"/>
  <c r="K46" i="18"/>
  <c r="J46" i="18"/>
  <c r="I46" i="18"/>
  <c r="H46" i="18"/>
  <c r="G40" i="18"/>
  <c r="F40" i="18"/>
  <c r="E40" i="18"/>
  <c r="K36" i="18"/>
  <c r="J36" i="18"/>
  <c r="I36" i="18"/>
  <c r="H36" i="18"/>
  <c r="G30" i="18"/>
  <c r="F30" i="18"/>
  <c r="E30" i="18"/>
  <c r="K26" i="18"/>
  <c r="J26" i="18"/>
  <c r="I26" i="18"/>
  <c r="H26" i="18"/>
  <c r="G20" i="18"/>
  <c r="F20" i="18"/>
  <c r="E20" i="18"/>
  <c r="K16" i="18"/>
  <c r="J16" i="18"/>
  <c r="I16" i="18"/>
  <c r="H16" i="18"/>
  <c r="G10" i="18"/>
  <c r="F10" i="18"/>
  <c r="E10" i="18"/>
  <c r="K6" i="18"/>
  <c r="J6" i="18"/>
  <c r="I6" i="18"/>
  <c r="H6" i="18"/>
  <c r="C112" i="17"/>
  <c r="D112" i="17" s="1"/>
  <c r="G100" i="17"/>
  <c r="F100" i="17"/>
  <c r="E100" i="17"/>
  <c r="K96" i="17"/>
  <c r="J96" i="17"/>
  <c r="I96" i="17"/>
  <c r="H96" i="17"/>
  <c r="G90" i="17"/>
  <c r="F90" i="17"/>
  <c r="E90" i="17"/>
  <c r="K86" i="17"/>
  <c r="J86" i="17"/>
  <c r="I86" i="17"/>
  <c r="H86" i="17"/>
  <c r="G80" i="17"/>
  <c r="F80" i="17"/>
  <c r="E80" i="17"/>
  <c r="K76" i="17"/>
  <c r="J76" i="17"/>
  <c r="I76" i="17"/>
  <c r="H76" i="17"/>
  <c r="G70" i="17"/>
  <c r="F70" i="17"/>
  <c r="E70" i="17"/>
  <c r="K66" i="17"/>
  <c r="J66" i="17"/>
  <c r="I66" i="17"/>
  <c r="H66" i="17"/>
  <c r="G60" i="17"/>
  <c r="F60" i="17"/>
  <c r="E60" i="17"/>
  <c r="K56" i="17"/>
  <c r="J56" i="17"/>
  <c r="I56" i="17"/>
  <c r="H56" i="17"/>
  <c r="G50" i="17"/>
  <c r="F50" i="17"/>
  <c r="E50" i="17"/>
  <c r="K46" i="17"/>
  <c r="J46" i="17"/>
  <c r="I46" i="17"/>
  <c r="H46" i="17"/>
  <c r="G40" i="17"/>
  <c r="F40" i="17"/>
  <c r="E40" i="17"/>
  <c r="K36" i="17"/>
  <c r="J36" i="17"/>
  <c r="I36" i="17"/>
  <c r="H36" i="17"/>
  <c r="G30" i="17"/>
  <c r="F30" i="17"/>
  <c r="E30" i="17"/>
  <c r="K26" i="17"/>
  <c r="J26" i="17"/>
  <c r="I26" i="17"/>
  <c r="H26" i="17"/>
  <c r="G20" i="17"/>
  <c r="F20" i="17"/>
  <c r="E20" i="17"/>
  <c r="K16" i="17"/>
  <c r="J16" i="17"/>
  <c r="I16" i="17"/>
  <c r="H16" i="17"/>
  <c r="G10" i="17"/>
  <c r="F10" i="17"/>
  <c r="E10" i="17"/>
  <c r="K6" i="17"/>
  <c r="J6" i="17"/>
  <c r="I6" i="17"/>
  <c r="H6" i="17"/>
  <c r="C112" i="16"/>
  <c r="D112" i="16" s="1"/>
  <c r="G100" i="16"/>
  <c r="F100" i="16"/>
  <c r="E100" i="16"/>
  <c r="K96" i="16"/>
  <c r="J96" i="16"/>
  <c r="I96" i="16"/>
  <c r="H96" i="16"/>
  <c r="G90" i="16"/>
  <c r="F90" i="16"/>
  <c r="E90" i="16"/>
  <c r="K86" i="16"/>
  <c r="J86" i="16"/>
  <c r="I86" i="16"/>
  <c r="H86" i="16"/>
  <c r="G80" i="16"/>
  <c r="F80" i="16"/>
  <c r="E80" i="16"/>
  <c r="K76" i="16"/>
  <c r="J76" i="16"/>
  <c r="I76" i="16"/>
  <c r="H76" i="16"/>
  <c r="G70" i="16"/>
  <c r="F70" i="16"/>
  <c r="E70" i="16"/>
  <c r="K66" i="16"/>
  <c r="J66" i="16"/>
  <c r="I66" i="16"/>
  <c r="H66" i="16"/>
  <c r="G60" i="16"/>
  <c r="F60" i="16"/>
  <c r="E60" i="16"/>
  <c r="K56" i="16"/>
  <c r="J56" i="16"/>
  <c r="I56" i="16"/>
  <c r="H56" i="16"/>
  <c r="G50" i="16"/>
  <c r="F50" i="16"/>
  <c r="E50" i="16"/>
  <c r="K46" i="16"/>
  <c r="J46" i="16"/>
  <c r="I46" i="16"/>
  <c r="H46" i="16"/>
  <c r="G40" i="16"/>
  <c r="F40" i="16"/>
  <c r="E40" i="16"/>
  <c r="K36" i="16"/>
  <c r="J36" i="16"/>
  <c r="I36" i="16"/>
  <c r="H36" i="16"/>
  <c r="G30" i="16"/>
  <c r="F30" i="16"/>
  <c r="E30" i="16"/>
  <c r="K26" i="16"/>
  <c r="J26" i="16"/>
  <c r="I26" i="16"/>
  <c r="H26" i="16"/>
  <c r="G20" i="16"/>
  <c r="F20" i="16"/>
  <c r="E20" i="16"/>
  <c r="K16" i="16"/>
  <c r="J16" i="16"/>
  <c r="I16" i="16"/>
  <c r="H16" i="16"/>
  <c r="G10" i="16"/>
  <c r="F10" i="16"/>
  <c r="E10" i="16"/>
  <c r="K6" i="16"/>
  <c r="J6" i="16"/>
  <c r="I6" i="16"/>
  <c r="H6" i="16"/>
  <c r="C112" i="15"/>
  <c r="D112" i="15" s="1"/>
  <c r="G100" i="15"/>
  <c r="F100" i="15"/>
  <c r="E100" i="15"/>
  <c r="K96" i="15"/>
  <c r="J96" i="15"/>
  <c r="I96" i="15"/>
  <c r="H96" i="15"/>
  <c r="G90" i="15"/>
  <c r="F90" i="15"/>
  <c r="E90" i="15"/>
  <c r="K86" i="15"/>
  <c r="J86" i="15"/>
  <c r="I86" i="15"/>
  <c r="H86" i="15"/>
  <c r="G80" i="15"/>
  <c r="F80" i="15"/>
  <c r="E80" i="15"/>
  <c r="K76" i="15"/>
  <c r="J76" i="15"/>
  <c r="I76" i="15"/>
  <c r="H76" i="15"/>
  <c r="G70" i="15"/>
  <c r="F70" i="15"/>
  <c r="E70" i="15"/>
  <c r="K66" i="15"/>
  <c r="J66" i="15"/>
  <c r="I66" i="15"/>
  <c r="H66" i="15"/>
  <c r="G60" i="15"/>
  <c r="F60" i="15"/>
  <c r="E60" i="15"/>
  <c r="K56" i="15"/>
  <c r="J56" i="15"/>
  <c r="I56" i="15"/>
  <c r="H56" i="15"/>
  <c r="G50" i="15"/>
  <c r="F50" i="15"/>
  <c r="E50" i="15"/>
  <c r="K46" i="15"/>
  <c r="J46" i="15"/>
  <c r="I46" i="15"/>
  <c r="H46" i="15"/>
  <c r="G40" i="15"/>
  <c r="F40" i="15"/>
  <c r="E40" i="15"/>
  <c r="K36" i="15"/>
  <c r="J36" i="15"/>
  <c r="I36" i="15"/>
  <c r="H36" i="15"/>
  <c r="G30" i="15"/>
  <c r="F30" i="15"/>
  <c r="E30" i="15"/>
  <c r="K26" i="15"/>
  <c r="J26" i="15"/>
  <c r="I26" i="15"/>
  <c r="H26" i="15"/>
  <c r="G20" i="15"/>
  <c r="F20" i="15"/>
  <c r="E20" i="15"/>
  <c r="K16" i="15"/>
  <c r="J16" i="15"/>
  <c r="I16" i="15"/>
  <c r="H16" i="15"/>
  <c r="G10" i="15"/>
  <c r="F10" i="15"/>
  <c r="E10" i="15"/>
  <c r="K6" i="15"/>
  <c r="J6" i="15"/>
  <c r="I6" i="15"/>
  <c r="H6" i="15"/>
  <c r="C112" i="14"/>
  <c r="D112" i="14" s="1"/>
  <c r="G100" i="14"/>
  <c r="F100" i="14"/>
  <c r="E100" i="14"/>
  <c r="K96" i="14"/>
  <c r="J96" i="14"/>
  <c r="I96" i="14"/>
  <c r="H96" i="14"/>
  <c r="G90" i="14"/>
  <c r="F90" i="14"/>
  <c r="E90" i="14"/>
  <c r="K86" i="14"/>
  <c r="J86" i="14"/>
  <c r="I86" i="14"/>
  <c r="H86" i="14"/>
  <c r="G80" i="14"/>
  <c r="F80" i="14"/>
  <c r="E80" i="14"/>
  <c r="K76" i="14"/>
  <c r="J76" i="14"/>
  <c r="I76" i="14"/>
  <c r="H76" i="14"/>
  <c r="G70" i="14"/>
  <c r="F70" i="14"/>
  <c r="E70" i="14"/>
  <c r="K66" i="14"/>
  <c r="J66" i="14"/>
  <c r="I66" i="14"/>
  <c r="H66" i="14"/>
  <c r="G60" i="14"/>
  <c r="F60" i="14"/>
  <c r="E60" i="14"/>
  <c r="K56" i="14"/>
  <c r="J56" i="14"/>
  <c r="I56" i="14"/>
  <c r="H56" i="14"/>
  <c r="G50" i="14"/>
  <c r="F50" i="14"/>
  <c r="E50" i="14"/>
  <c r="K46" i="14"/>
  <c r="J46" i="14"/>
  <c r="I46" i="14"/>
  <c r="H46" i="14"/>
  <c r="G40" i="14"/>
  <c r="F40" i="14"/>
  <c r="E40" i="14"/>
  <c r="K36" i="14"/>
  <c r="J36" i="14"/>
  <c r="I36" i="14"/>
  <c r="H36" i="14"/>
  <c r="G30" i="14"/>
  <c r="F30" i="14"/>
  <c r="E30" i="14"/>
  <c r="K26" i="14"/>
  <c r="J26" i="14"/>
  <c r="I26" i="14"/>
  <c r="H26" i="14"/>
  <c r="G20" i="14"/>
  <c r="F20" i="14"/>
  <c r="E20" i="14"/>
  <c r="K16" i="14"/>
  <c r="J16" i="14"/>
  <c r="I16" i="14"/>
  <c r="H16" i="14"/>
  <c r="G10" i="14"/>
  <c r="F10" i="14"/>
  <c r="E10" i="14"/>
  <c r="K6" i="14"/>
  <c r="J6" i="14"/>
  <c r="I6" i="14"/>
  <c r="H6" i="14"/>
  <c r="C112" i="13"/>
  <c r="D112" i="13" s="1"/>
  <c r="G100" i="13"/>
  <c r="F100" i="13"/>
  <c r="E100" i="13"/>
  <c r="K96" i="13"/>
  <c r="J96" i="13"/>
  <c r="I96" i="13"/>
  <c r="H96" i="13"/>
  <c r="G90" i="13"/>
  <c r="F90" i="13"/>
  <c r="E90" i="13"/>
  <c r="K86" i="13"/>
  <c r="J86" i="13"/>
  <c r="I86" i="13"/>
  <c r="H86" i="13"/>
  <c r="G80" i="13"/>
  <c r="F80" i="13"/>
  <c r="E80" i="13"/>
  <c r="K76" i="13"/>
  <c r="J76" i="13"/>
  <c r="I76" i="13"/>
  <c r="H76" i="13"/>
  <c r="G70" i="13"/>
  <c r="F70" i="13"/>
  <c r="E70" i="13"/>
  <c r="K66" i="13"/>
  <c r="J66" i="13"/>
  <c r="I66" i="13"/>
  <c r="H66" i="13"/>
  <c r="G60" i="13"/>
  <c r="F60" i="13"/>
  <c r="E60" i="13"/>
  <c r="K56" i="13"/>
  <c r="J56" i="13"/>
  <c r="I56" i="13"/>
  <c r="H56" i="13"/>
  <c r="G50" i="13"/>
  <c r="F50" i="13"/>
  <c r="E50" i="13"/>
  <c r="K46" i="13"/>
  <c r="J46" i="13"/>
  <c r="I46" i="13"/>
  <c r="H46" i="13"/>
  <c r="G40" i="13"/>
  <c r="F40" i="13"/>
  <c r="E40" i="13"/>
  <c r="K36" i="13"/>
  <c r="J36" i="13"/>
  <c r="I36" i="13"/>
  <c r="H36" i="13"/>
  <c r="G30" i="13"/>
  <c r="F30" i="13"/>
  <c r="E30" i="13"/>
  <c r="K26" i="13"/>
  <c r="J26" i="13"/>
  <c r="I26" i="13"/>
  <c r="H26" i="13"/>
  <c r="G20" i="13"/>
  <c r="F20" i="13"/>
  <c r="E20" i="13"/>
  <c r="K16" i="13"/>
  <c r="J16" i="13"/>
  <c r="I16" i="13"/>
  <c r="H16" i="13"/>
  <c r="G10" i="13"/>
  <c r="F10" i="13"/>
  <c r="E10" i="13"/>
  <c r="K6" i="13"/>
  <c r="J6" i="13"/>
  <c r="I6" i="13"/>
  <c r="H6" i="13"/>
  <c r="C112" i="12"/>
  <c r="D112" i="12" s="1"/>
  <c r="G100" i="12"/>
  <c r="F100" i="12"/>
  <c r="E100" i="12"/>
  <c r="K96" i="12"/>
  <c r="J96" i="12"/>
  <c r="I96" i="12"/>
  <c r="H96" i="12"/>
  <c r="G90" i="12"/>
  <c r="F90" i="12"/>
  <c r="E90" i="12"/>
  <c r="K86" i="12"/>
  <c r="J86" i="12"/>
  <c r="I86" i="12"/>
  <c r="H86" i="12"/>
  <c r="G80" i="12"/>
  <c r="F80" i="12"/>
  <c r="E80" i="12"/>
  <c r="K76" i="12"/>
  <c r="J76" i="12"/>
  <c r="I76" i="12"/>
  <c r="H76" i="12"/>
  <c r="G70" i="12"/>
  <c r="F70" i="12"/>
  <c r="E70" i="12"/>
  <c r="K66" i="12"/>
  <c r="J66" i="12"/>
  <c r="I66" i="12"/>
  <c r="H66" i="12"/>
  <c r="G60" i="12"/>
  <c r="F60" i="12"/>
  <c r="E60" i="12"/>
  <c r="K56" i="12"/>
  <c r="J56" i="12"/>
  <c r="I56" i="12"/>
  <c r="H56" i="12"/>
  <c r="G50" i="12"/>
  <c r="F50" i="12"/>
  <c r="E50" i="12"/>
  <c r="K46" i="12"/>
  <c r="J46" i="12"/>
  <c r="I46" i="12"/>
  <c r="H46" i="12"/>
  <c r="G40" i="12"/>
  <c r="F40" i="12"/>
  <c r="E40" i="12"/>
  <c r="K36" i="12"/>
  <c r="J36" i="12"/>
  <c r="I36" i="12"/>
  <c r="H36" i="12"/>
  <c r="G30" i="12"/>
  <c r="F30" i="12"/>
  <c r="E30" i="12"/>
  <c r="K26" i="12"/>
  <c r="J26" i="12"/>
  <c r="I26" i="12"/>
  <c r="H26" i="12"/>
  <c r="G20" i="12"/>
  <c r="F20" i="12"/>
  <c r="E20" i="12"/>
  <c r="K16" i="12"/>
  <c r="J16" i="12"/>
  <c r="I16" i="12"/>
  <c r="H16" i="12"/>
  <c r="G10" i="12"/>
  <c r="F10" i="12"/>
  <c r="E10" i="12"/>
  <c r="K6" i="12"/>
  <c r="J6" i="12"/>
  <c r="I6" i="12"/>
  <c r="H6" i="12"/>
  <c r="C112" i="11"/>
  <c r="D112" i="11" s="1"/>
  <c r="G100" i="11"/>
  <c r="F100" i="11"/>
  <c r="E100" i="11"/>
  <c r="K96" i="11"/>
  <c r="J96" i="11"/>
  <c r="I96" i="11"/>
  <c r="H96" i="11"/>
  <c r="G90" i="11"/>
  <c r="F90" i="11"/>
  <c r="E90" i="11"/>
  <c r="K86" i="11"/>
  <c r="J86" i="11"/>
  <c r="I86" i="11"/>
  <c r="H86" i="11"/>
  <c r="G80" i="11"/>
  <c r="F80" i="11"/>
  <c r="E80" i="11"/>
  <c r="K76" i="11"/>
  <c r="J76" i="11"/>
  <c r="I76" i="11"/>
  <c r="H76" i="11"/>
  <c r="G70" i="11"/>
  <c r="F70" i="11"/>
  <c r="E70" i="11"/>
  <c r="K66" i="11"/>
  <c r="J66" i="11"/>
  <c r="I66" i="11"/>
  <c r="H66" i="11"/>
  <c r="G60" i="11"/>
  <c r="F60" i="11"/>
  <c r="E60" i="11"/>
  <c r="K56" i="11"/>
  <c r="J56" i="11"/>
  <c r="I56" i="11"/>
  <c r="H56" i="11"/>
  <c r="G50" i="11"/>
  <c r="F50" i="11"/>
  <c r="E50" i="11"/>
  <c r="K46" i="11"/>
  <c r="J46" i="11"/>
  <c r="I46" i="11"/>
  <c r="H46" i="11"/>
  <c r="G40" i="11"/>
  <c r="F40" i="11"/>
  <c r="E40" i="11"/>
  <c r="K36" i="11"/>
  <c r="J36" i="11"/>
  <c r="I36" i="11"/>
  <c r="H36" i="11"/>
  <c r="G30" i="11"/>
  <c r="F30" i="11"/>
  <c r="E30" i="11"/>
  <c r="K26" i="11"/>
  <c r="J26" i="11"/>
  <c r="I26" i="11"/>
  <c r="H26" i="11"/>
  <c r="G20" i="11"/>
  <c r="F20" i="11"/>
  <c r="E20" i="11"/>
  <c r="K16" i="11"/>
  <c r="J16" i="11"/>
  <c r="I16" i="11"/>
  <c r="H16" i="11"/>
  <c r="G10" i="11"/>
  <c r="F10" i="11"/>
  <c r="E10" i="11"/>
  <c r="K6" i="11"/>
  <c r="J6" i="11"/>
  <c r="I6" i="11"/>
  <c r="H6" i="11"/>
  <c r="C112" i="10"/>
  <c r="D112" i="10" s="1"/>
  <c r="G100" i="10"/>
  <c r="F100" i="10"/>
  <c r="E100" i="10"/>
  <c r="K96" i="10"/>
  <c r="J96" i="10"/>
  <c r="I96" i="10"/>
  <c r="H96" i="10"/>
  <c r="G90" i="10"/>
  <c r="F90" i="10"/>
  <c r="E90" i="10"/>
  <c r="K86" i="10"/>
  <c r="J86" i="10"/>
  <c r="I86" i="10"/>
  <c r="H86" i="10"/>
  <c r="G80" i="10"/>
  <c r="F80" i="10"/>
  <c r="E80" i="10"/>
  <c r="K76" i="10"/>
  <c r="J76" i="10"/>
  <c r="I76" i="10"/>
  <c r="H76" i="10"/>
  <c r="G70" i="10"/>
  <c r="F70" i="10"/>
  <c r="E70" i="10"/>
  <c r="K66" i="10"/>
  <c r="J66" i="10"/>
  <c r="I66" i="10"/>
  <c r="H66" i="10"/>
  <c r="G60" i="10"/>
  <c r="F60" i="10"/>
  <c r="E60" i="10"/>
  <c r="K56" i="10"/>
  <c r="J56" i="10"/>
  <c r="I56" i="10"/>
  <c r="H56" i="10"/>
  <c r="G50" i="10"/>
  <c r="F50" i="10"/>
  <c r="E50" i="10"/>
  <c r="K46" i="10"/>
  <c r="J46" i="10"/>
  <c r="I46" i="10"/>
  <c r="H46" i="10"/>
  <c r="G40" i="10"/>
  <c r="F40" i="10"/>
  <c r="E40" i="10"/>
  <c r="K36" i="10"/>
  <c r="J36" i="10"/>
  <c r="I36" i="10"/>
  <c r="H36" i="10"/>
  <c r="G30" i="10"/>
  <c r="F30" i="10"/>
  <c r="E30" i="10"/>
  <c r="K26" i="10"/>
  <c r="J26" i="10"/>
  <c r="I26" i="10"/>
  <c r="H26" i="10"/>
  <c r="G20" i="10"/>
  <c r="F20" i="10"/>
  <c r="E20" i="10"/>
  <c r="K16" i="10"/>
  <c r="J16" i="10"/>
  <c r="I16" i="10"/>
  <c r="H16" i="10"/>
  <c r="G10" i="10"/>
  <c r="F10" i="10"/>
  <c r="E10" i="10"/>
  <c r="K6" i="10"/>
  <c r="J6" i="10"/>
  <c r="I6" i="10"/>
  <c r="H6" i="10"/>
  <c r="C112" i="9"/>
  <c r="D112" i="9" s="1"/>
  <c r="G100" i="9"/>
  <c r="F100" i="9"/>
  <c r="E100" i="9"/>
  <c r="K96" i="9"/>
  <c r="J96" i="9"/>
  <c r="I96" i="9"/>
  <c r="H96" i="9"/>
  <c r="G90" i="9"/>
  <c r="F90" i="9"/>
  <c r="E90" i="9"/>
  <c r="K86" i="9"/>
  <c r="J86" i="9"/>
  <c r="I86" i="9"/>
  <c r="H86" i="9"/>
  <c r="G80" i="9"/>
  <c r="F80" i="9"/>
  <c r="E80" i="9"/>
  <c r="K76" i="9"/>
  <c r="J76" i="9"/>
  <c r="I76" i="9"/>
  <c r="H76" i="9"/>
  <c r="G70" i="9"/>
  <c r="F70" i="9"/>
  <c r="E70" i="9"/>
  <c r="K66" i="9"/>
  <c r="J66" i="9"/>
  <c r="I66" i="9"/>
  <c r="H66" i="9"/>
  <c r="G60" i="9"/>
  <c r="F60" i="9"/>
  <c r="E60" i="9"/>
  <c r="K56" i="9"/>
  <c r="J56" i="9"/>
  <c r="I56" i="9"/>
  <c r="H56" i="9"/>
  <c r="G50" i="9"/>
  <c r="F50" i="9"/>
  <c r="E50" i="9"/>
  <c r="K46" i="9"/>
  <c r="J46" i="9"/>
  <c r="I46" i="9"/>
  <c r="H46" i="9"/>
  <c r="G40" i="9"/>
  <c r="F40" i="9"/>
  <c r="E40" i="9"/>
  <c r="K36" i="9"/>
  <c r="J36" i="9"/>
  <c r="I36" i="9"/>
  <c r="H36" i="9"/>
  <c r="G30" i="9"/>
  <c r="F30" i="9"/>
  <c r="E30" i="9"/>
  <c r="K26" i="9"/>
  <c r="J26" i="9"/>
  <c r="I26" i="9"/>
  <c r="H26" i="9"/>
  <c r="G20" i="9"/>
  <c r="F20" i="9"/>
  <c r="E20" i="9"/>
  <c r="K16" i="9"/>
  <c r="J16" i="9"/>
  <c r="I16" i="9"/>
  <c r="H16" i="9"/>
  <c r="G10" i="9"/>
  <c r="F10" i="9"/>
  <c r="E10" i="9"/>
  <c r="K6" i="9"/>
  <c r="J6" i="9"/>
  <c r="I6" i="9"/>
  <c r="H6" i="9"/>
  <c r="C112" i="8"/>
  <c r="D112" i="8" s="1"/>
  <c r="G100" i="8"/>
  <c r="F100" i="8"/>
  <c r="E100" i="8"/>
  <c r="K96" i="8"/>
  <c r="J96" i="8"/>
  <c r="I96" i="8"/>
  <c r="H96" i="8"/>
  <c r="G90" i="8"/>
  <c r="F90" i="8"/>
  <c r="E90" i="8"/>
  <c r="K86" i="8"/>
  <c r="J86" i="8"/>
  <c r="I86" i="8"/>
  <c r="H86" i="8"/>
  <c r="G80" i="8"/>
  <c r="F80" i="8"/>
  <c r="E80" i="8"/>
  <c r="K76" i="8"/>
  <c r="J76" i="8"/>
  <c r="I76" i="8"/>
  <c r="H76" i="8"/>
  <c r="G70" i="8"/>
  <c r="F70" i="8"/>
  <c r="E70" i="8"/>
  <c r="K66" i="8"/>
  <c r="J66" i="8"/>
  <c r="I66" i="8"/>
  <c r="H66" i="8"/>
  <c r="G60" i="8"/>
  <c r="F60" i="8"/>
  <c r="E60" i="8"/>
  <c r="K56" i="8"/>
  <c r="J56" i="8"/>
  <c r="I56" i="8"/>
  <c r="H56" i="8"/>
  <c r="G50" i="8"/>
  <c r="F50" i="8"/>
  <c r="E50" i="8"/>
  <c r="K46" i="8"/>
  <c r="J46" i="8"/>
  <c r="I46" i="8"/>
  <c r="H46" i="8"/>
  <c r="G40" i="8"/>
  <c r="F40" i="8"/>
  <c r="E40" i="8"/>
  <c r="K36" i="8"/>
  <c r="J36" i="8"/>
  <c r="I36" i="8"/>
  <c r="H36" i="8"/>
  <c r="G30" i="8"/>
  <c r="F30" i="8"/>
  <c r="E30" i="8"/>
  <c r="K26" i="8"/>
  <c r="J26" i="8"/>
  <c r="I26" i="8"/>
  <c r="H26" i="8"/>
  <c r="G20" i="8"/>
  <c r="F20" i="8"/>
  <c r="E20" i="8"/>
  <c r="K16" i="8"/>
  <c r="J16" i="8"/>
  <c r="I16" i="8"/>
  <c r="H16" i="8"/>
  <c r="G10" i="8"/>
  <c r="F10" i="8"/>
  <c r="E10" i="8"/>
  <c r="K6" i="8"/>
  <c r="J6" i="8"/>
  <c r="I6" i="8"/>
  <c r="H6" i="8"/>
  <c r="C112" i="7"/>
  <c r="D112" i="7" s="1"/>
  <c r="G100" i="7"/>
  <c r="F100" i="7"/>
  <c r="E100" i="7"/>
  <c r="K96" i="7"/>
  <c r="J96" i="7"/>
  <c r="I96" i="7"/>
  <c r="H96" i="7"/>
  <c r="G90" i="7"/>
  <c r="F90" i="7"/>
  <c r="E90" i="7"/>
  <c r="K86" i="7"/>
  <c r="J86" i="7"/>
  <c r="I86" i="7"/>
  <c r="H86" i="7"/>
  <c r="G80" i="7"/>
  <c r="F80" i="7"/>
  <c r="E80" i="7"/>
  <c r="K76" i="7"/>
  <c r="J76" i="7"/>
  <c r="I76" i="7"/>
  <c r="H76" i="7"/>
  <c r="G70" i="7"/>
  <c r="F70" i="7"/>
  <c r="E70" i="7"/>
  <c r="K66" i="7"/>
  <c r="J66" i="7"/>
  <c r="I66" i="7"/>
  <c r="H66" i="7"/>
  <c r="G60" i="7"/>
  <c r="F60" i="7"/>
  <c r="E60" i="7"/>
  <c r="K56" i="7"/>
  <c r="J56" i="7"/>
  <c r="I56" i="7"/>
  <c r="H56" i="7"/>
  <c r="G50" i="7"/>
  <c r="F50" i="7"/>
  <c r="E50" i="7"/>
  <c r="K46" i="7"/>
  <c r="J46" i="7"/>
  <c r="I46" i="7"/>
  <c r="H46" i="7"/>
  <c r="G40" i="7"/>
  <c r="F40" i="7"/>
  <c r="E40" i="7"/>
  <c r="K36" i="7"/>
  <c r="J36" i="7"/>
  <c r="I36" i="7"/>
  <c r="H36" i="7"/>
  <c r="G30" i="7"/>
  <c r="F30" i="7"/>
  <c r="E30" i="7"/>
  <c r="K26" i="7"/>
  <c r="J26" i="7"/>
  <c r="I26" i="7"/>
  <c r="H26" i="7"/>
  <c r="G20" i="7"/>
  <c r="F20" i="7"/>
  <c r="E20" i="7"/>
  <c r="K16" i="7"/>
  <c r="J16" i="7"/>
  <c r="I16" i="7"/>
  <c r="H16" i="7"/>
  <c r="G10" i="7"/>
  <c r="F10" i="7"/>
  <c r="E10" i="7"/>
  <c r="K6" i="7"/>
  <c r="J6" i="7"/>
  <c r="I6" i="7"/>
  <c r="H6" i="7"/>
  <c r="C112" i="6"/>
  <c r="D112" i="6" s="1"/>
  <c r="G100" i="6"/>
  <c r="F100" i="6"/>
  <c r="E100" i="6"/>
  <c r="K96" i="6"/>
  <c r="J96" i="6"/>
  <c r="I96" i="6"/>
  <c r="H96" i="6"/>
  <c r="G90" i="6"/>
  <c r="F90" i="6"/>
  <c r="E90" i="6"/>
  <c r="K86" i="6"/>
  <c r="J86" i="6"/>
  <c r="I86" i="6"/>
  <c r="H86" i="6"/>
  <c r="G80" i="6"/>
  <c r="F80" i="6"/>
  <c r="E80" i="6"/>
  <c r="K76" i="6"/>
  <c r="J76" i="6"/>
  <c r="I76" i="6"/>
  <c r="H76" i="6"/>
  <c r="G70" i="6"/>
  <c r="F70" i="6"/>
  <c r="E70" i="6"/>
  <c r="K66" i="6"/>
  <c r="J66" i="6"/>
  <c r="I66" i="6"/>
  <c r="H66" i="6"/>
  <c r="G60" i="6"/>
  <c r="F60" i="6"/>
  <c r="E60" i="6"/>
  <c r="K56" i="6"/>
  <c r="J56" i="6"/>
  <c r="I56" i="6"/>
  <c r="H56" i="6"/>
  <c r="G50" i="6"/>
  <c r="F50" i="6"/>
  <c r="E50" i="6"/>
  <c r="K46" i="6"/>
  <c r="J46" i="6"/>
  <c r="I46" i="6"/>
  <c r="H46" i="6"/>
  <c r="G40" i="6"/>
  <c r="F40" i="6"/>
  <c r="E40" i="6"/>
  <c r="K36" i="6"/>
  <c r="J36" i="6"/>
  <c r="I36" i="6"/>
  <c r="H36" i="6"/>
  <c r="G30" i="6"/>
  <c r="F30" i="6"/>
  <c r="E30" i="6"/>
  <c r="K26" i="6"/>
  <c r="J26" i="6"/>
  <c r="I26" i="6"/>
  <c r="H26" i="6"/>
  <c r="G20" i="6"/>
  <c r="F20" i="6"/>
  <c r="E20" i="6"/>
  <c r="K16" i="6"/>
  <c r="J16" i="6"/>
  <c r="I16" i="6"/>
  <c r="H16" i="6"/>
  <c r="G10" i="6"/>
  <c r="F10" i="6"/>
  <c r="E10" i="6"/>
  <c r="K6" i="6"/>
  <c r="J6" i="6"/>
  <c r="I6" i="6"/>
  <c r="H6" i="6"/>
  <c r="C112" i="5"/>
  <c r="D112" i="5" s="1"/>
  <c r="G100" i="5"/>
  <c r="F100" i="5"/>
  <c r="E100" i="5"/>
  <c r="K96" i="5"/>
  <c r="J96" i="5"/>
  <c r="I96" i="5"/>
  <c r="H96" i="5"/>
  <c r="G90" i="5"/>
  <c r="F90" i="5"/>
  <c r="E90" i="5"/>
  <c r="K86" i="5"/>
  <c r="J86" i="5"/>
  <c r="I86" i="5"/>
  <c r="H86" i="5"/>
  <c r="G80" i="5"/>
  <c r="F80" i="5"/>
  <c r="E80" i="5"/>
  <c r="K76" i="5"/>
  <c r="J76" i="5"/>
  <c r="I76" i="5"/>
  <c r="H76" i="5"/>
  <c r="G70" i="5"/>
  <c r="F70" i="5"/>
  <c r="E70" i="5"/>
  <c r="K66" i="5"/>
  <c r="J66" i="5"/>
  <c r="I66" i="5"/>
  <c r="H66" i="5"/>
  <c r="G60" i="5"/>
  <c r="F60" i="5"/>
  <c r="E60" i="5"/>
  <c r="K56" i="5"/>
  <c r="J56" i="5"/>
  <c r="I56" i="5"/>
  <c r="H56" i="5"/>
  <c r="G50" i="5"/>
  <c r="F50" i="5"/>
  <c r="E50" i="5"/>
  <c r="K46" i="5"/>
  <c r="J46" i="5"/>
  <c r="I46" i="5"/>
  <c r="H46" i="5"/>
  <c r="G40" i="5"/>
  <c r="F40" i="5"/>
  <c r="E40" i="5"/>
  <c r="K36" i="5"/>
  <c r="J36" i="5"/>
  <c r="I36" i="5"/>
  <c r="H36" i="5"/>
  <c r="G30" i="5"/>
  <c r="F30" i="5"/>
  <c r="E30" i="5"/>
  <c r="K26" i="5"/>
  <c r="J26" i="5"/>
  <c r="I26" i="5"/>
  <c r="H26" i="5"/>
  <c r="G20" i="5"/>
  <c r="F20" i="5"/>
  <c r="E20" i="5"/>
  <c r="K16" i="5"/>
  <c r="J16" i="5"/>
  <c r="I16" i="5"/>
  <c r="H16" i="5"/>
  <c r="G10" i="5"/>
  <c r="F10" i="5"/>
  <c r="E10" i="5"/>
  <c r="K6" i="5"/>
  <c r="J6" i="5"/>
  <c r="I6" i="5"/>
  <c r="H6" i="5"/>
  <c r="C112" i="4"/>
  <c r="D112" i="4" s="1"/>
  <c r="G100" i="4"/>
  <c r="F100" i="4"/>
  <c r="E100" i="4"/>
  <c r="K96" i="4"/>
  <c r="J96" i="4"/>
  <c r="I96" i="4"/>
  <c r="H96" i="4"/>
  <c r="G90" i="4"/>
  <c r="F90" i="4"/>
  <c r="E90" i="4"/>
  <c r="K86" i="4"/>
  <c r="J86" i="4"/>
  <c r="I86" i="4"/>
  <c r="H86" i="4"/>
  <c r="G80" i="4"/>
  <c r="F80" i="4"/>
  <c r="E80" i="4"/>
  <c r="K76" i="4"/>
  <c r="J76" i="4"/>
  <c r="I76" i="4"/>
  <c r="H76" i="4"/>
  <c r="G70" i="4"/>
  <c r="F70" i="4"/>
  <c r="E70" i="4"/>
  <c r="K66" i="4"/>
  <c r="J66" i="4"/>
  <c r="I66" i="4"/>
  <c r="H66" i="4"/>
  <c r="G60" i="4"/>
  <c r="F60" i="4"/>
  <c r="E60" i="4"/>
  <c r="K56" i="4"/>
  <c r="J56" i="4"/>
  <c r="I56" i="4"/>
  <c r="H56" i="4"/>
  <c r="G50" i="4"/>
  <c r="F50" i="4"/>
  <c r="E50" i="4"/>
  <c r="K46" i="4"/>
  <c r="J46" i="4"/>
  <c r="I46" i="4"/>
  <c r="H46" i="4"/>
  <c r="G40" i="4"/>
  <c r="F40" i="4"/>
  <c r="E40" i="4"/>
  <c r="K36" i="4"/>
  <c r="J36" i="4"/>
  <c r="I36" i="4"/>
  <c r="H36" i="4"/>
  <c r="G30" i="4"/>
  <c r="F30" i="4"/>
  <c r="E30" i="4"/>
  <c r="K26" i="4"/>
  <c r="J26" i="4"/>
  <c r="I26" i="4"/>
  <c r="H26" i="4"/>
  <c r="G20" i="4"/>
  <c r="F20" i="4"/>
  <c r="E20" i="4"/>
  <c r="K16" i="4"/>
  <c r="J16" i="4"/>
  <c r="I16" i="4"/>
  <c r="H16" i="4"/>
  <c r="G10" i="4"/>
  <c r="F10" i="4"/>
  <c r="E10" i="4"/>
  <c r="K6" i="4"/>
  <c r="J6" i="4"/>
  <c r="I6" i="4"/>
  <c r="H6" i="4"/>
  <c r="C112" i="3"/>
  <c r="D112" i="3" s="1"/>
  <c r="G100" i="3"/>
  <c r="F100" i="3"/>
  <c r="E100" i="3"/>
  <c r="K96" i="3"/>
  <c r="J96" i="3"/>
  <c r="I96" i="3"/>
  <c r="H96" i="3"/>
  <c r="G90" i="3"/>
  <c r="F90" i="3"/>
  <c r="E90" i="3"/>
  <c r="K86" i="3"/>
  <c r="J86" i="3"/>
  <c r="I86" i="3"/>
  <c r="H86" i="3"/>
  <c r="G80" i="3"/>
  <c r="F80" i="3"/>
  <c r="E80" i="3"/>
  <c r="K76" i="3"/>
  <c r="J76" i="3"/>
  <c r="I76" i="3"/>
  <c r="H76" i="3"/>
  <c r="G70" i="3"/>
  <c r="F70" i="3"/>
  <c r="E70" i="3"/>
  <c r="K66" i="3"/>
  <c r="J66" i="3"/>
  <c r="I66" i="3"/>
  <c r="H66" i="3"/>
  <c r="G60" i="3"/>
  <c r="F60" i="3"/>
  <c r="E60" i="3"/>
  <c r="K56" i="3"/>
  <c r="J56" i="3"/>
  <c r="I56" i="3"/>
  <c r="H56" i="3"/>
  <c r="G50" i="3"/>
  <c r="F50" i="3"/>
  <c r="E50" i="3"/>
  <c r="K46" i="3"/>
  <c r="J46" i="3"/>
  <c r="I46" i="3"/>
  <c r="H46" i="3"/>
  <c r="G40" i="3"/>
  <c r="F40" i="3"/>
  <c r="E40" i="3"/>
  <c r="K36" i="3"/>
  <c r="J36" i="3"/>
  <c r="I36" i="3"/>
  <c r="H36" i="3"/>
  <c r="G30" i="3"/>
  <c r="F30" i="3"/>
  <c r="E30" i="3"/>
  <c r="K26" i="3"/>
  <c r="J26" i="3"/>
  <c r="I26" i="3"/>
  <c r="H26" i="3"/>
  <c r="G20" i="3"/>
  <c r="F20" i="3"/>
  <c r="E20" i="3"/>
  <c r="K16" i="3"/>
  <c r="J16" i="3"/>
  <c r="I16" i="3"/>
  <c r="H16" i="3"/>
  <c r="G10" i="3"/>
  <c r="F10" i="3"/>
  <c r="E10" i="3"/>
  <c r="K6" i="3"/>
  <c r="J6" i="3"/>
  <c r="I6" i="3"/>
  <c r="H6" i="3"/>
  <c r="H110" i="1"/>
  <c r="H104" i="1"/>
  <c r="G100" i="1"/>
  <c r="F100" i="1"/>
  <c r="F102" i="1" s="1"/>
  <c r="E100" i="1"/>
  <c r="E102" i="1" s="1"/>
  <c r="H96" i="1"/>
  <c r="H94" i="1"/>
  <c r="G90" i="1"/>
  <c r="F90" i="1"/>
  <c r="F92" i="1" s="1"/>
  <c r="E90" i="1"/>
  <c r="E92" i="1" s="1"/>
  <c r="H86" i="1"/>
  <c r="H84" i="1"/>
  <c r="G80" i="1"/>
  <c r="F80" i="1"/>
  <c r="F82" i="1" s="1"/>
  <c r="E80" i="1"/>
  <c r="E82" i="1" s="1"/>
  <c r="H76" i="1"/>
  <c r="H74" i="1"/>
  <c r="G70" i="1"/>
  <c r="F70" i="1"/>
  <c r="F72" i="1" s="1"/>
  <c r="E70" i="1"/>
  <c r="E72" i="1" s="1"/>
  <c r="H66" i="1"/>
  <c r="H64" i="1"/>
  <c r="G60" i="1"/>
  <c r="F60" i="1"/>
  <c r="F62" i="1" s="1"/>
  <c r="E60" i="1"/>
  <c r="E62" i="1" s="1"/>
  <c r="H56" i="1"/>
  <c r="H54" i="1"/>
  <c r="G50" i="1"/>
  <c r="F50" i="1"/>
  <c r="F52" i="1" s="1"/>
  <c r="E50" i="1"/>
  <c r="E52" i="1" s="1"/>
  <c r="H46" i="1"/>
  <c r="H44" i="1"/>
  <c r="G40" i="1"/>
  <c r="F40" i="1"/>
  <c r="F42" i="1" s="1"/>
  <c r="E40" i="1"/>
  <c r="E42" i="1" s="1"/>
  <c r="H36" i="1"/>
  <c r="H34" i="1"/>
  <c r="G30" i="1"/>
  <c r="F30" i="1"/>
  <c r="F32" i="1" s="1"/>
  <c r="E30" i="1"/>
  <c r="E32" i="1" s="1"/>
  <c r="H26" i="1"/>
  <c r="H24" i="1"/>
  <c r="G20" i="1"/>
  <c r="F20" i="1"/>
  <c r="F22" i="1" s="1"/>
  <c r="E20" i="1"/>
  <c r="E22" i="1" s="1"/>
  <c r="H16" i="1"/>
  <c r="H14" i="1"/>
  <c r="G10" i="1"/>
  <c r="F10" i="1"/>
  <c r="E10" i="1"/>
  <c r="H6" i="1"/>
  <c r="C112" i="2"/>
  <c r="D112" i="2" s="1"/>
  <c r="G100" i="2"/>
  <c r="F100" i="2"/>
  <c r="E100" i="2"/>
  <c r="K96" i="2"/>
  <c r="J96" i="2"/>
  <c r="I96" i="2"/>
  <c r="H96" i="2"/>
  <c r="G90" i="2"/>
  <c r="F90" i="2"/>
  <c r="E90" i="2"/>
  <c r="K86" i="2"/>
  <c r="J86" i="2"/>
  <c r="I86" i="2"/>
  <c r="H86" i="2"/>
  <c r="G80" i="2"/>
  <c r="F80" i="2"/>
  <c r="E80" i="2"/>
  <c r="K76" i="2"/>
  <c r="J76" i="2"/>
  <c r="I76" i="2"/>
  <c r="H76" i="2"/>
  <c r="G70" i="2"/>
  <c r="F70" i="2"/>
  <c r="E70" i="2"/>
  <c r="K66" i="2"/>
  <c r="J66" i="2"/>
  <c r="I66" i="2"/>
  <c r="H66" i="2"/>
  <c r="G60" i="2"/>
  <c r="F60" i="2"/>
  <c r="E60" i="2"/>
  <c r="K56" i="2"/>
  <c r="J56" i="2"/>
  <c r="I56" i="2"/>
  <c r="H56" i="2"/>
  <c r="G50" i="2"/>
  <c r="F50" i="2"/>
  <c r="E50" i="2"/>
  <c r="K46" i="2"/>
  <c r="J46" i="2"/>
  <c r="I46" i="2"/>
  <c r="H46" i="2"/>
  <c r="G40" i="2"/>
  <c r="F40" i="2"/>
  <c r="E40" i="2"/>
  <c r="K36" i="2"/>
  <c r="J36" i="2"/>
  <c r="I36" i="2"/>
  <c r="H36" i="2"/>
  <c r="G30" i="2"/>
  <c r="F30" i="2"/>
  <c r="E30" i="2"/>
  <c r="K26" i="2"/>
  <c r="J26" i="2"/>
  <c r="I26" i="2"/>
  <c r="H26" i="2"/>
  <c r="G20" i="2"/>
  <c r="F20" i="2"/>
  <c r="E20" i="2"/>
  <c r="K16" i="2"/>
  <c r="J16" i="2"/>
  <c r="I16" i="2"/>
  <c r="H16" i="2"/>
  <c r="G10" i="2"/>
  <c r="F10" i="2"/>
  <c r="E10" i="2"/>
  <c r="K6" i="2"/>
  <c r="J6" i="2"/>
  <c r="I6" i="2"/>
  <c r="H6" i="2"/>
  <c r="E106" i="2" l="1"/>
  <c r="E12" i="2"/>
  <c r="E11" i="2"/>
  <c r="F106" i="2"/>
  <c r="F12" i="2"/>
  <c r="F11" i="2"/>
  <c r="G106" i="2"/>
  <c r="G12" i="2"/>
  <c r="G11" i="2"/>
  <c r="H10" i="2"/>
  <c r="E22" i="2"/>
  <c r="E21" i="2"/>
  <c r="F22" i="2"/>
  <c r="F21" i="2"/>
  <c r="G22" i="2"/>
  <c r="G21" i="2"/>
  <c r="H20" i="2"/>
  <c r="E32" i="2"/>
  <c r="E31" i="2"/>
  <c r="F32" i="2"/>
  <c r="F31" i="2"/>
  <c r="G32" i="2"/>
  <c r="G31" i="2"/>
  <c r="H30" i="2"/>
  <c r="E42" i="2"/>
  <c r="E41" i="2"/>
  <c r="F42" i="2"/>
  <c r="F41" i="2"/>
  <c r="G42" i="2"/>
  <c r="G41" i="2"/>
  <c r="H40" i="2"/>
  <c r="E52" i="2"/>
  <c r="E51" i="2"/>
  <c r="F52" i="2"/>
  <c r="F51" i="2"/>
  <c r="G52" i="2"/>
  <c r="G51" i="2"/>
  <c r="H50" i="2"/>
  <c r="E62" i="2"/>
  <c r="E61" i="2"/>
  <c r="F62" i="2"/>
  <c r="F61" i="2"/>
  <c r="G62" i="2"/>
  <c r="G61" i="2"/>
  <c r="H60" i="2"/>
  <c r="E72" i="2"/>
  <c r="E71" i="2"/>
  <c r="F72" i="2"/>
  <c r="F71" i="2"/>
  <c r="G72" i="2"/>
  <c r="G71" i="2"/>
  <c r="H70" i="2"/>
  <c r="E82" i="2"/>
  <c r="E81" i="2"/>
  <c r="F82" i="2"/>
  <c r="F81" i="2"/>
  <c r="G82" i="2"/>
  <c r="G81" i="2"/>
  <c r="H80" i="2"/>
  <c r="E92" i="2"/>
  <c r="E91" i="2"/>
  <c r="F92" i="2"/>
  <c r="F91" i="2"/>
  <c r="G92" i="2"/>
  <c r="G91" i="2"/>
  <c r="H90" i="2"/>
  <c r="E102" i="2"/>
  <c r="E101" i="2"/>
  <c r="F102" i="2"/>
  <c r="F101" i="2"/>
  <c r="G102" i="2"/>
  <c r="G101" i="2"/>
  <c r="H100" i="2"/>
  <c r="E106" i="1"/>
  <c r="E108" i="1" s="1"/>
  <c r="E12" i="1"/>
  <c r="F106" i="1"/>
  <c r="F108" i="1" s="1"/>
  <c r="F12" i="1"/>
  <c r="G106" i="1"/>
  <c r="G12" i="1"/>
  <c r="H10" i="1"/>
  <c r="G22" i="1"/>
  <c r="H20" i="1"/>
  <c r="G32" i="1"/>
  <c r="H30" i="1"/>
  <c r="G42" i="1"/>
  <c r="H40" i="1"/>
  <c r="G52" i="1"/>
  <c r="H50" i="1"/>
  <c r="G62" i="1"/>
  <c r="H60" i="1"/>
  <c r="G72" i="1"/>
  <c r="H70" i="1"/>
  <c r="G82" i="1"/>
  <c r="H80" i="1"/>
  <c r="G92" i="1"/>
  <c r="H90" i="1"/>
  <c r="G102" i="1"/>
  <c r="H100" i="1"/>
  <c r="E106" i="3"/>
  <c r="E12" i="3"/>
  <c r="E11" i="3"/>
  <c r="F106" i="3"/>
  <c r="F12" i="3"/>
  <c r="F11" i="3"/>
  <c r="G106" i="3"/>
  <c r="G12" i="3"/>
  <c r="G11" i="3"/>
  <c r="H10" i="3"/>
  <c r="H11" i="3" s="1"/>
  <c r="E22" i="3"/>
  <c r="E21" i="3"/>
  <c r="F22" i="3"/>
  <c r="F21" i="3"/>
  <c r="G22" i="3"/>
  <c r="G21" i="3"/>
  <c r="H20" i="3"/>
  <c r="H21" i="3" s="1"/>
  <c r="E32" i="3"/>
  <c r="E31" i="3"/>
  <c r="F32" i="3"/>
  <c r="F31" i="3"/>
  <c r="G32" i="3"/>
  <c r="G31" i="3"/>
  <c r="H30" i="3"/>
  <c r="H31" i="3" s="1"/>
  <c r="E42" i="3"/>
  <c r="E41" i="3"/>
  <c r="F42" i="3"/>
  <c r="F41" i="3"/>
  <c r="G42" i="3"/>
  <c r="G41" i="3"/>
  <c r="H40" i="3"/>
  <c r="H41" i="3" s="1"/>
  <c r="E52" i="3"/>
  <c r="E51" i="3"/>
  <c r="F52" i="3"/>
  <c r="F51" i="3"/>
  <c r="G52" i="3"/>
  <c r="G51" i="3"/>
  <c r="H50" i="3"/>
  <c r="H51" i="3" s="1"/>
  <c r="E62" i="3"/>
  <c r="E61" i="3"/>
  <c r="F62" i="3"/>
  <c r="F61" i="3"/>
  <c r="G62" i="3"/>
  <c r="G61" i="3"/>
  <c r="H60" i="3"/>
  <c r="H61" i="3" s="1"/>
  <c r="E72" i="3"/>
  <c r="E71" i="3"/>
  <c r="F72" i="3"/>
  <c r="F71" i="3"/>
  <c r="G72" i="3"/>
  <c r="G71" i="3"/>
  <c r="H70" i="3"/>
  <c r="H71" i="3" s="1"/>
  <c r="E82" i="3"/>
  <c r="E81" i="3"/>
  <c r="F82" i="3"/>
  <c r="F81" i="3"/>
  <c r="G82" i="3"/>
  <c r="G81" i="3"/>
  <c r="H80" i="3"/>
  <c r="H81" i="3" s="1"/>
  <c r="E92" i="3"/>
  <c r="E91" i="3"/>
  <c r="F92" i="3"/>
  <c r="F91" i="3"/>
  <c r="G92" i="3"/>
  <c r="G91" i="3"/>
  <c r="H90" i="3"/>
  <c r="H91" i="3" s="1"/>
  <c r="E102" i="3"/>
  <c r="E101" i="3"/>
  <c r="F102" i="3"/>
  <c r="F101" i="3"/>
  <c r="G102" i="3"/>
  <c r="G101" i="3"/>
  <c r="H100" i="3"/>
  <c r="H101" i="3" s="1"/>
  <c r="E106" i="4"/>
  <c r="E12" i="4"/>
  <c r="E11" i="4"/>
  <c r="F106" i="4"/>
  <c r="F12" i="4"/>
  <c r="F11" i="4"/>
  <c r="G106" i="4"/>
  <c r="G12" i="4"/>
  <c r="G11" i="4"/>
  <c r="H10" i="4"/>
  <c r="H11" i="4" s="1"/>
  <c r="E22" i="4"/>
  <c r="E21" i="4"/>
  <c r="F22" i="4"/>
  <c r="F21" i="4"/>
  <c r="G22" i="4"/>
  <c r="G21" i="4"/>
  <c r="H20" i="4"/>
  <c r="H21" i="4" s="1"/>
  <c r="E32" i="4"/>
  <c r="E31" i="4"/>
  <c r="F32" i="4"/>
  <c r="F31" i="4"/>
  <c r="G32" i="4"/>
  <c r="G31" i="4"/>
  <c r="H30" i="4"/>
  <c r="H31" i="4" s="1"/>
  <c r="E42" i="4"/>
  <c r="E41" i="4"/>
  <c r="F42" i="4"/>
  <c r="F41" i="4"/>
  <c r="G42" i="4"/>
  <c r="G41" i="4"/>
  <c r="H40" i="4"/>
  <c r="H41" i="4" s="1"/>
  <c r="E52" i="4"/>
  <c r="E51" i="4"/>
  <c r="F52" i="4"/>
  <c r="F51" i="4"/>
  <c r="G52" i="4"/>
  <c r="G51" i="4"/>
  <c r="H50" i="4"/>
  <c r="H51" i="4" s="1"/>
  <c r="E62" i="4"/>
  <c r="E61" i="4"/>
  <c r="F62" i="4"/>
  <c r="F61" i="4"/>
  <c r="G62" i="4"/>
  <c r="G61" i="4"/>
  <c r="H60" i="4"/>
  <c r="H61" i="4" s="1"/>
  <c r="E72" i="4"/>
  <c r="E71" i="4"/>
  <c r="F72" i="4"/>
  <c r="F71" i="4"/>
  <c r="G72" i="4"/>
  <c r="G71" i="4"/>
  <c r="H70" i="4"/>
  <c r="H71" i="4" s="1"/>
  <c r="E82" i="4"/>
  <c r="E81" i="4"/>
  <c r="F82" i="4"/>
  <c r="F81" i="4"/>
  <c r="G82" i="4"/>
  <c r="G81" i="4"/>
  <c r="H80" i="4"/>
  <c r="H81" i="4" s="1"/>
  <c r="E92" i="4"/>
  <c r="E91" i="4"/>
  <c r="F92" i="4"/>
  <c r="F91" i="4"/>
  <c r="G92" i="4"/>
  <c r="G91" i="4"/>
  <c r="H90" i="4"/>
  <c r="H91" i="4" s="1"/>
  <c r="E102" i="4"/>
  <c r="E101" i="4"/>
  <c r="F102" i="4"/>
  <c r="F101" i="4"/>
  <c r="G102" i="4"/>
  <c r="G101" i="4"/>
  <c r="H100" i="4"/>
  <c r="H101" i="4" s="1"/>
  <c r="E106" i="5"/>
  <c r="E12" i="5"/>
  <c r="E11" i="5"/>
  <c r="F106" i="5"/>
  <c r="F12" i="5"/>
  <c r="F11" i="5"/>
  <c r="G106" i="5"/>
  <c r="G12" i="5"/>
  <c r="G11" i="5"/>
  <c r="H10" i="5"/>
  <c r="H11" i="5" s="1"/>
  <c r="E22" i="5"/>
  <c r="E21" i="5"/>
  <c r="F22" i="5"/>
  <c r="F21" i="5"/>
  <c r="G22" i="5"/>
  <c r="G21" i="5"/>
  <c r="H20" i="5"/>
  <c r="H21" i="5" s="1"/>
  <c r="E32" i="5"/>
  <c r="E31" i="5"/>
  <c r="F32" i="5"/>
  <c r="F31" i="5"/>
  <c r="G32" i="5"/>
  <c r="G31" i="5"/>
  <c r="H30" i="5"/>
  <c r="H31" i="5" s="1"/>
  <c r="E42" i="5"/>
  <c r="E41" i="5"/>
  <c r="F42" i="5"/>
  <c r="F41" i="5"/>
  <c r="G42" i="5"/>
  <c r="G41" i="5"/>
  <c r="H40" i="5"/>
  <c r="H41" i="5" s="1"/>
  <c r="E52" i="5"/>
  <c r="E51" i="5"/>
  <c r="F52" i="5"/>
  <c r="F51" i="5"/>
  <c r="G52" i="5"/>
  <c r="G51" i="5"/>
  <c r="H50" i="5"/>
  <c r="H51" i="5" s="1"/>
  <c r="E62" i="5"/>
  <c r="E61" i="5"/>
  <c r="F62" i="5"/>
  <c r="F61" i="5"/>
  <c r="G62" i="5"/>
  <c r="G61" i="5"/>
  <c r="H60" i="5"/>
  <c r="H61" i="5" s="1"/>
  <c r="E72" i="5"/>
  <c r="E71" i="5"/>
  <c r="F72" i="5"/>
  <c r="F71" i="5"/>
  <c r="G72" i="5"/>
  <c r="G71" i="5"/>
  <c r="H70" i="5"/>
  <c r="H71" i="5" s="1"/>
  <c r="E82" i="5"/>
  <c r="E81" i="5"/>
  <c r="F82" i="5"/>
  <c r="F81" i="5"/>
  <c r="G82" i="5"/>
  <c r="G81" i="5"/>
  <c r="H80" i="5"/>
  <c r="H81" i="5" s="1"/>
  <c r="E92" i="5"/>
  <c r="E91" i="5"/>
  <c r="F92" i="5"/>
  <c r="F91" i="5"/>
  <c r="G92" i="5"/>
  <c r="G91" i="5"/>
  <c r="H90" i="5"/>
  <c r="H91" i="5" s="1"/>
  <c r="E102" i="5"/>
  <c r="E101" i="5"/>
  <c r="F102" i="5"/>
  <c r="F101" i="5"/>
  <c r="G102" i="5"/>
  <c r="G101" i="5"/>
  <c r="H100" i="5"/>
  <c r="H101" i="5" s="1"/>
  <c r="E106" i="6"/>
  <c r="E12" i="6"/>
  <c r="E11" i="6"/>
  <c r="F106" i="6"/>
  <c r="F12" i="6"/>
  <c r="F11" i="6"/>
  <c r="G106" i="6"/>
  <c r="G12" i="6"/>
  <c r="G11" i="6"/>
  <c r="H10" i="6"/>
  <c r="H11" i="6" s="1"/>
  <c r="E22" i="6"/>
  <c r="E21" i="6"/>
  <c r="F22" i="6"/>
  <c r="F21" i="6"/>
  <c r="G22" i="6"/>
  <c r="G21" i="6"/>
  <c r="H20" i="6"/>
  <c r="H21" i="6" s="1"/>
  <c r="E32" i="6"/>
  <c r="E31" i="6"/>
  <c r="F32" i="6"/>
  <c r="F31" i="6"/>
  <c r="G32" i="6"/>
  <c r="G31" i="6"/>
  <c r="H30" i="6"/>
  <c r="H31" i="6" s="1"/>
  <c r="E42" i="6"/>
  <c r="E41" i="6"/>
  <c r="F42" i="6"/>
  <c r="F41" i="6"/>
  <c r="G42" i="6"/>
  <c r="G41" i="6"/>
  <c r="H40" i="6"/>
  <c r="H41" i="6" s="1"/>
  <c r="E52" i="6"/>
  <c r="E51" i="6"/>
  <c r="F52" i="6"/>
  <c r="F51" i="6"/>
  <c r="G52" i="6"/>
  <c r="G51" i="6"/>
  <c r="H50" i="6"/>
  <c r="H51" i="6" s="1"/>
  <c r="E62" i="6"/>
  <c r="E61" i="6"/>
  <c r="F62" i="6"/>
  <c r="F61" i="6"/>
  <c r="G62" i="6"/>
  <c r="G61" i="6"/>
  <c r="H60" i="6"/>
  <c r="H61" i="6" s="1"/>
  <c r="E72" i="6"/>
  <c r="E71" i="6"/>
  <c r="F72" i="6"/>
  <c r="F71" i="6"/>
  <c r="G72" i="6"/>
  <c r="G71" i="6"/>
  <c r="H70" i="6"/>
  <c r="H71" i="6" s="1"/>
  <c r="E82" i="6"/>
  <c r="E81" i="6"/>
  <c r="F82" i="6"/>
  <c r="F81" i="6"/>
  <c r="G82" i="6"/>
  <c r="G81" i="6"/>
  <c r="H80" i="6"/>
  <c r="H81" i="6" s="1"/>
  <c r="E92" i="6"/>
  <c r="E91" i="6"/>
  <c r="F92" i="6"/>
  <c r="F91" i="6"/>
  <c r="G92" i="6"/>
  <c r="G91" i="6"/>
  <c r="H90" i="6"/>
  <c r="H91" i="6" s="1"/>
  <c r="E102" i="6"/>
  <c r="E101" i="6"/>
  <c r="F102" i="6"/>
  <c r="F101" i="6"/>
  <c r="G102" i="6"/>
  <c r="G101" i="6"/>
  <c r="H100" i="6"/>
  <c r="H101" i="6" s="1"/>
  <c r="E106" i="7"/>
  <c r="E12" i="7"/>
  <c r="E11" i="7"/>
  <c r="F106" i="7"/>
  <c r="F12" i="7"/>
  <c r="F11" i="7"/>
  <c r="G106" i="7"/>
  <c r="G12" i="7"/>
  <c r="G11" i="7"/>
  <c r="H10" i="7"/>
  <c r="H11" i="7" s="1"/>
  <c r="E22" i="7"/>
  <c r="E21" i="7"/>
  <c r="F22" i="7"/>
  <c r="F21" i="7"/>
  <c r="G22" i="7"/>
  <c r="G21" i="7"/>
  <c r="H20" i="7"/>
  <c r="H21" i="7" s="1"/>
  <c r="E32" i="7"/>
  <c r="E31" i="7"/>
  <c r="F32" i="7"/>
  <c r="F31" i="7"/>
  <c r="G32" i="7"/>
  <c r="G31" i="7"/>
  <c r="H30" i="7"/>
  <c r="H31" i="7" s="1"/>
  <c r="E42" i="7"/>
  <c r="E41" i="7"/>
  <c r="F42" i="7"/>
  <c r="F41" i="7"/>
  <c r="G42" i="7"/>
  <c r="G41" i="7"/>
  <c r="H40" i="7"/>
  <c r="H41" i="7" s="1"/>
  <c r="E52" i="7"/>
  <c r="E51" i="7"/>
  <c r="F52" i="7"/>
  <c r="F51" i="7"/>
  <c r="G52" i="7"/>
  <c r="G51" i="7"/>
  <c r="H50" i="7"/>
  <c r="H51" i="7" s="1"/>
  <c r="E62" i="7"/>
  <c r="E61" i="7"/>
  <c r="F62" i="7"/>
  <c r="F61" i="7"/>
  <c r="G62" i="7"/>
  <c r="G61" i="7"/>
  <c r="H60" i="7"/>
  <c r="H61" i="7" s="1"/>
  <c r="E72" i="7"/>
  <c r="E71" i="7"/>
  <c r="F72" i="7"/>
  <c r="F71" i="7"/>
  <c r="G72" i="7"/>
  <c r="G71" i="7"/>
  <c r="H70" i="7"/>
  <c r="H71" i="7" s="1"/>
  <c r="E82" i="7"/>
  <c r="E81" i="7"/>
  <c r="F82" i="7"/>
  <c r="F81" i="7"/>
  <c r="G82" i="7"/>
  <c r="G81" i="7"/>
  <c r="H80" i="7"/>
  <c r="H81" i="7" s="1"/>
  <c r="E92" i="7"/>
  <c r="E91" i="7"/>
  <c r="F92" i="7"/>
  <c r="F91" i="7"/>
  <c r="G92" i="7"/>
  <c r="G91" i="7"/>
  <c r="H90" i="7"/>
  <c r="H91" i="7" s="1"/>
  <c r="E102" i="7"/>
  <c r="E101" i="7"/>
  <c r="F102" i="7"/>
  <c r="F101" i="7"/>
  <c r="G102" i="7"/>
  <c r="G101" i="7"/>
  <c r="H100" i="7"/>
  <c r="H101" i="7" s="1"/>
  <c r="E106" i="8"/>
  <c r="E12" i="8"/>
  <c r="E11" i="8"/>
  <c r="F106" i="8"/>
  <c r="F12" i="8"/>
  <c r="F11" i="8"/>
  <c r="G106" i="8"/>
  <c r="G12" i="8"/>
  <c r="G11" i="8"/>
  <c r="H10" i="8"/>
  <c r="H11" i="8" s="1"/>
  <c r="E22" i="8"/>
  <c r="E21" i="8"/>
  <c r="F22" i="8"/>
  <c r="F21" i="8"/>
  <c r="G22" i="8"/>
  <c r="G21" i="8"/>
  <c r="H20" i="8"/>
  <c r="H21" i="8" s="1"/>
  <c r="E32" i="8"/>
  <c r="E31" i="8"/>
  <c r="F32" i="8"/>
  <c r="F31" i="8"/>
  <c r="G32" i="8"/>
  <c r="G31" i="8"/>
  <c r="H30" i="8"/>
  <c r="H31" i="8" s="1"/>
  <c r="E42" i="8"/>
  <c r="E41" i="8"/>
  <c r="F42" i="8"/>
  <c r="F41" i="8"/>
  <c r="G42" i="8"/>
  <c r="G41" i="8"/>
  <c r="H40" i="8"/>
  <c r="H41" i="8" s="1"/>
  <c r="E52" i="8"/>
  <c r="E51" i="8"/>
  <c r="F52" i="8"/>
  <c r="F51" i="8"/>
  <c r="G52" i="8"/>
  <c r="G51" i="8"/>
  <c r="H50" i="8"/>
  <c r="H51" i="8" s="1"/>
  <c r="E62" i="8"/>
  <c r="E61" i="8"/>
  <c r="F62" i="8"/>
  <c r="F61" i="8"/>
  <c r="G62" i="8"/>
  <c r="G61" i="8"/>
  <c r="H60" i="8"/>
  <c r="H61" i="8" s="1"/>
  <c r="E72" i="8"/>
  <c r="E71" i="8"/>
  <c r="F72" i="8"/>
  <c r="F71" i="8"/>
  <c r="G72" i="8"/>
  <c r="G71" i="8"/>
  <c r="H70" i="8"/>
  <c r="H71" i="8" s="1"/>
  <c r="E82" i="8"/>
  <c r="E81" i="8"/>
  <c r="F82" i="8"/>
  <c r="F81" i="8"/>
  <c r="G82" i="8"/>
  <c r="G81" i="8"/>
  <c r="H80" i="8"/>
  <c r="H81" i="8" s="1"/>
  <c r="E92" i="8"/>
  <c r="E91" i="8"/>
  <c r="F92" i="8"/>
  <c r="F91" i="8"/>
  <c r="G92" i="8"/>
  <c r="G91" i="8"/>
  <c r="H90" i="8"/>
  <c r="H91" i="8" s="1"/>
  <c r="E102" i="8"/>
  <c r="E101" i="8"/>
  <c r="F102" i="8"/>
  <c r="F101" i="8"/>
  <c r="G102" i="8"/>
  <c r="G101" i="8"/>
  <c r="H100" i="8"/>
  <c r="H101" i="8" s="1"/>
  <c r="E106" i="9"/>
  <c r="E12" i="9"/>
  <c r="E11" i="9"/>
  <c r="F106" i="9"/>
  <c r="F12" i="9"/>
  <c r="F11" i="9"/>
  <c r="G106" i="9"/>
  <c r="G12" i="9"/>
  <c r="G11" i="9"/>
  <c r="H10" i="9"/>
  <c r="H11" i="9" s="1"/>
  <c r="E22" i="9"/>
  <c r="E21" i="9"/>
  <c r="F22" i="9"/>
  <c r="F21" i="9"/>
  <c r="G22" i="9"/>
  <c r="G21" i="9"/>
  <c r="H20" i="9"/>
  <c r="H21" i="9" s="1"/>
  <c r="E32" i="9"/>
  <c r="E31" i="9"/>
  <c r="F32" i="9"/>
  <c r="F31" i="9"/>
  <c r="G32" i="9"/>
  <c r="G31" i="9"/>
  <c r="H30" i="9"/>
  <c r="H31" i="9" s="1"/>
  <c r="E42" i="9"/>
  <c r="E41" i="9"/>
  <c r="F42" i="9"/>
  <c r="F41" i="9"/>
  <c r="G42" i="9"/>
  <c r="G41" i="9"/>
  <c r="H40" i="9"/>
  <c r="H41" i="9" s="1"/>
  <c r="E52" i="9"/>
  <c r="E51" i="9"/>
  <c r="F52" i="9"/>
  <c r="F51" i="9"/>
  <c r="G52" i="9"/>
  <c r="G51" i="9"/>
  <c r="H50" i="9"/>
  <c r="H51" i="9" s="1"/>
  <c r="E62" i="9"/>
  <c r="E61" i="9"/>
  <c r="F62" i="9"/>
  <c r="F61" i="9"/>
  <c r="G62" i="9"/>
  <c r="G61" i="9"/>
  <c r="H60" i="9"/>
  <c r="H61" i="9" s="1"/>
  <c r="E72" i="9"/>
  <c r="E71" i="9"/>
  <c r="F72" i="9"/>
  <c r="F71" i="9"/>
  <c r="G72" i="9"/>
  <c r="G71" i="9"/>
  <c r="H70" i="9"/>
  <c r="H71" i="9" s="1"/>
  <c r="E82" i="9"/>
  <c r="E81" i="9"/>
  <c r="F82" i="9"/>
  <c r="F81" i="9"/>
  <c r="G82" i="9"/>
  <c r="G81" i="9"/>
  <c r="H80" i="9"/>
  <c r="H81" i="9" s="1"/>
  <c r="E92" i="9"/>
  <c r="E91" i="9"/>
  <c r="F92" i="9"/>
  <c r="F91" i="9"/>
  <c r="G92" i="9"/>
  <c r="G91" i="9"/>
  <c r="H90" i="9"/>
  <c r="H91" i="9" s="1"/>
  <c r="E102" i="9"/>
  <c r="E101" i="9"/>
  <c r="F102" i="9"/>
  <c r="F101" i="9"/>
  <c r="G102" i="9"/>
  <c r="G101" i="9"/>
  <c r="H100" i="9"/>
  <c r="H101" i="9" s="1"/>
  <c r="E106" i="10"/>
  <c r="E12" i="10"/>
  <c r="E11" i="10"/>
  <c r="F106" i="10"/>
  <c r="F12" i="10"/>
  <c r="F11" i="10"/>
  <c r="G106" i="10"/>
  <c r="G12" i="10"/>
  <c r="G11" i="10"/>
  <c r="H10" i="10"/>
  <c r="H11" i="10" s="1"/>
  <c r="E22" i="10"/>
  <c r="E21" i="10"/>
  <c r="F22" i="10"/>
  <c r="F21" i="10"/>
  <c r="G22" i="10"/>
  <c r="G21" i="10"/>
  <c r="H20" i="10"/>
  <c r="H21" i="10" s="1"/>
  <c r="E32" i="10"/>
  <c r="E31" i="10"/>
  <c r="F32" i="10"/>
  <c r="F31" i="10"/>
  <c r="G32" i="10"/>
  <c r="G31" i="10"/>
  <c r="H30" i="10"/>
  <c r="H31" i="10" s="1"/>
  <c r="E42" i="10"/>
  <c r="E41" i="10"/>
  <c r="F42" i="10"/>
  <c r="F41" i="10"/>
  <c r="G42" i="10"/>
  <c r="G41" i="10"/>
  <c r="H40" i="10"/>
  <c r="H41" i="10" s="1"/>
  <c r="E52" i="10"/>
  <c r="E51" i="10"/>
  <c r="F52" i="10"/>
  <c r="F51" i="10"/>
  <c r="G52" i="10"/>
  <c r="G51" i="10"/>
  <c r="H50" i="10"/>
  <c r="H51" i="10" s="1"/>
  <c r="E62" i="10"/>
  <c r="E61" i="10"/>
  <c r="F62" i="10"/>
  <c r="F61" i="10"/>
  <c r="G62" i="10"/>
  <c r="G61" i="10"/>
  <c r="H60" i="10"/>
  <c r="H61" i="10" s="1"/>
  <c r="E72" i="10"/>
  <c r="E71" i="10"/>
  <c r="F72" i="10"/>
  <c r="F71" i="10"/>
  <c r="G72" i="10"/>
  <c r="G71" i="10"/>
  <c r="H70" i="10"/>
  <c r="H71" i="10" s="1"/>
  <c r="E82" i="10"/>
  <c r="E81" i="10"/>
  <c r="F82" i="10"/>
  <c r="F81" i="10"/>
  <c r="G82" i="10"/>
  <c r="G81" i="10"/>
  <c r="H80" i="10"/>
  <c r="H81" i="10" s="1"/>
  <c r="E92" i="10"/>
  <c r="E91" i="10"/>
  <c r="F92" i="10"/>
  <c r="F91" i="10"/>
  <c r="G92" i="10"/>
  <c r="G91" i="10"/>
  <c r="H90" i="10"/>
  <c r="H91" i="10" s="1"/>
  <c r="E102" i="10"/>
  <c r="E101" i="10"/>
  <c r="F102" i="10"/>
  <c r="F101" i="10"/>
  <c r="G102" i="10"/>
  <c r="G101" i="10"/>
  <c r="H100" i="10"/>
  <c r="H101" i="10" s="1"/>
  <c r="E106" i="11"/>
  <c r="E12" i="11"/>
  <c r="E11" i="11"/>
  <c r="F106" i="11"/>
  <c r="F12" i="11"/>
  <c r="F11" i="11"/>
  <c r="G106" i="11"/>
  <c r="G12" i="11"/>
  <c r="G11" i="11"/>
  <c r="H10" i="11"/>
  <c r="H11" i="11" s="1"/>
  <c r="E22" i="11"/>
  <c r="E21" i="11"/>
  <c r="F22" i="11"/>
  <c r="F21" i="11"/>
  <c r="G22" i="11"/>
  <c r="G21" i="11"/>
  <c r="H20" i="11"/>
  <c r="H21" i="11" s="1"/>
  <c r="E32" i="11"/>
  <c r="E31" i="11"/>
  <c r="F32" i="11"/>
  <c r="F31" i="11"/>
  <c r="G32" i="11"/>
  <c r="G31" i="11"/>
  <c r="H30" i="11"/>
  <c r="H31" i="11" s="1"/>
  <c r="E42" i="11"/>
  <c r="E41" i="11"/>
  <c r="F42" i="11"/>
  <c r="F41" i="11"/>
  <c r="G42" i="11"/>
  <c r="G41" i="11"/>
  <c r="H40" i="11"/>
  <c r="H41" i="11" s="1"/>
  <c r="E52" i="11"/>
  <c r="E51" i="11"/>
  <c r="F52" i="11"/>
  <c r="F51" i="11"/>
  <c r="G52" i="11"/>
  <c r="G51" i="11"/>
  <c r="H50" i="11"/>
  <c r="H51" i="11" s="1"/>
  <c r="E62" i="11"/>
  <c r="E61" i="11"/>
  <c r="F62" i="11"/>
  <c r="F61" i="11"/>
  <c r="G62" i="11"/>
  <c r="G61" i="11"/>
  <c r="H60" i="11"/>
  <c r="H61" i="11" s="1"/>
  <c r="E72" i="11"/>
  <c r="E71" i="11"/>
  <c r="F72" i="11"/>
  <c r="F71" i="11"/>
  <c r="G72" i="11"/>
  <c r="G71" i="11"/>
  <c r="H70" i="11"/>
  <c r="H71" i="11" s="1"/>
  <c r="E82" i="11"/>
  <c r="E81" i="11"/>
  <c r="F82" i="11"/>
  <c r="F81" i="11"/>
  <c r="G82" i="11"/>
  <c r="G81" i="11"/>
  <c r="H80" i="11"/>
  <c r="H81" i="11" s="1"/>
  <c r="E92" i="11"/>
  <c r="E91" i="11"/>
  <c r="F92" i="11"/>
  <c r="F91" i="11"/>
  <c r="G92" i="11"/>
  <c r="G91" i="11"/>
  <c r="H90" i="11"/>
  <c r="H91" i="11" s="1"/>
  <c r="E102" i="11"/>
  <c r="E101" i="11"/>
  <c r="F102" i="11"/>
  <c r="F101" i="11"/>
  <c r="G102" i="11"/>
  <c r="G101" i="11"/>
  <c r="H100" i="11"/>
  <c r="H101" i="11" s="1"/>
  <c r="E106" i="12"/>
  <c r="E12" i="12"/>
  <c r="E11" i="12"/>
  <c r="F106" i="12"/>
  <c r="F12" i="12"/>
  <c r="F11" i="12"/>
  <c r="G106" i="12"/>
  <c r="G12" i="12"/>
  <c r="G11" i="12"/>
  <c r="H10" i="12"/>
  <c r="H11" i="12" s="1"/>
  <c r="E22" i="12"/>
  <c r="E21" i="12"/>
  <c r="F22" i="12"/>
  <c r="F21" i="12"/>
  <c r="G22" i="12"/>
  <c r="G21" i="12"/>
  <c r="H20" i="12"/>
  <c r="H21" i="12" s="1"/>
  <c r="E32" i="12"/>
  <c r="E31" i="12"/>
  <c r="F32" i="12"/>
  <c r="F31" i="12"/>
  <c r="G32" i="12"/>
  <c r="G31" i="12"/>
  <c r="H30" i="12"/>
  <c r="H31" i="12" s="1"/>
  <c r="E42" i="12"/>
  <c r="E41" i="12"/>
  <c r="F42" i="12"/>
  <c r="F41" i="12"/>
  <c r="G42" i="12"/>
  <c r="G41" i="12"/>
  <c r="H40" i="12"/>
  <c r="H41" i="12" s="1"/>
  <c r="E52" i="12"/>
  <c r="E51" i="12"/>
  <c r="F52" i="12"/>
  <c r="F51" i="12"/>
  <c r="G52" i="12"/>
  <c r="G51" i="12"/>
  <c r="H50" i="12"/>
  <c r="H51" i="12" s="1"/>
  <c r="E62" i="12"/>
  <c r="E61" i="12"/>
  <c r="F62" i="12"/>
  <c r="F61" i="12"/>
  <c r="G62" i="12"/>
  <c r="G61" i="12"/>
  <c r="H60" i="12"/>
  <c r="H61" i="12" s="1"/>
  <c r="E72" i="12"/>
  <c r="E71" i="12"/>
  <c r="F72" i="12"/>
  <c r="F71" i="12"/>
  <c r="G72" i="12"/>
  <c r="G71" i="12"/>
  <c r="H70" i="12"/>
  <c r="H71" i="12" s="1"/>
  <c r="E82" i="12"/>
  <c r="E81" i="12"/>
  <c r="F82" i="12"/>
  <c r="F81" i="12"/>
  <c r="G82" i="12"/>
  <c r="G81" i="12"/>
  <c r="H80" i="12"/>
  <c r="H81" i="12" s="1"/>
  <c r="E92" i="12"/>
  <c r="E91" i="12"/>
  <c r="F92" i="12"/>
  <c r="F91" i="12"/>
  <c r="G92" i="12"/>
  <c r="G91" i="12"/>
  <c r="H90" i="12"/>
  <c r="H91" i="12" s="1"/>
  <c r="E102" i="12"/>
  <c r="E101" i="12"/>
  <c r="F102" i="12"/>
  <c r="F101" i="12"/>
  <c r="G102" i="12"/>
  <c r="G101" i="12"/>
  <c r="H100" i="12"/>
  <c r="H101" i="12" s="1"/>
  <c r="E106" i="13"/>
  <c r="E12" i="13"/>
  <c r="E11" i="13"/>
  <c r="F106" i="13"/>
  <c r="F12" i="13"/>
  <c r="F11" i="13"/>
  <c r="G106" i="13"/>
  <c r="G12" i="13"/>
  <c r="G11" i="13"/>
  <c r="H10" i="13"/>
  <c r="H11" i="13" s="1"/>
  <c r="E22" i="13"/>
  <c r="E21" i="13"/>
  <c r="F22" i="13"/>
  <c r="F21" i="13"/>
  <c r="G22" i="13"/>
  <c r="G21" i="13"/>
  <c r="H20" i="13"/>
  <c r="H21" i="13" s="1"/>
  <c r="E32" i="13"/>
  <c r="E31" i="13"/>
  <c r="F32" i="13"/>
  <c r="F31" i="13"/>
  <c r="G32" i="13"/>
  <c r="G31" i="13"/>
  <c r="H30" i="13"/>
  <c r="H31" i="13" s="1"/>
  <c r="E42" i="13"/>
  <c r="E41" i="13"/>
  <c r="F42" i="13"/>
  <c r="F41" i="13"/>
  <c r="G42" i="13"/>
  <c r="G41" i="13"/>
  <c r="H40" i="13"/>
  <c r="H41" i="13" s="1"/>
  <c r="E52" i="13"/>
  <c r="E51" i="13"/>
  <c r="F52" i="13"/>
  <c r="F51" i="13"/>
  <c r="G52" i="13"/>
  <c r="G51" i="13"/>
  <c r="H50" i="13"/>
  <c r="H51" i="13" s="1"/>
  <c r="E62" i="13"/>
  <c r="E61" i="13"/>
  <c r="F62" i="13"/>
  <c r="F61" i="13"/>
  <c r="G62" i="13"/>
  <c r="G61" i="13"/>
  <c r="H60" i="13"/>
  <c r="H61" i="13" s="1"/>
  <c r="E72" i="13"/>
  <c r="E71" i="13"/>
  <c r="F72" i="13"/>
  <c r="F71" i="13"/>
  <c r="G72" i="13"/>
  <c r="G71" i="13"/>
  <c r="H70" i="13"/>
  <c r="H71" i="13" s="1"/>
  <c r="E82" i="13"/>
  <c r="E81" i="13"/>
  <c r="F82" i="13"/>
  <c r="F81" i="13"/>
  <c r="G82" i="13"/>
  <c r="G81" i="13"/>
  <c r="H80" i="13"/>
  <c r="H81" i="13" s="1"/>
  <c r="E92" i="13"/>
  <c r="E91" i="13"/>
  <c r="F92" i="13"/>
  <c r="F91" i="13"/>
  <c r="G92" i="13"/>
  <c r="G91" i="13"/>
  <c r="H90" i="13"/>
  <c r="H91" i="13" s="1"/>
  <c r="E102" i="13"/>
  <c r="E101" i="13"/>
  <c r="F102" i="13"/>
  <c r="F101" i="13"/>
  <c r="G102" i="13"/>
  <c r="G101" i="13"/>
  <c r="H100" i="13"/>
  <c r="H101" i="13" s="1"/>
  <c r="E106" i="14"/>
  <c r="E12" i="14"/>
  <c r="E11" i="14"/>
  <c r="F106" i="14"/>
  <c r="F12" i="14"/>
  <c r="F11" i="14"/>
  <c r="G106" i="14"/>
  <c r="G12" i="14"/>
  <c r="G11" i="14"/>
  <c r="H10" i="14"/>
  <c r="H11" i="14" s="1"/>
  <c r="E22" i="14"/>
  <c r="E21" i="14"/>
  <c r="F22" i="14"/>
  <c r="F21" i="14"/>
  <c r="G22" i="14"/>
  <c r="G21" i="14"/>
  <c r="H20" i="14"/>
  <c r="H21" i="14" s="1"/>
  <c r="E32" i="14"/>
  <c r="E31" i="14"/>
  <c r="F32" i="14"/>
  <c r="F31" i="14"/>
  <c r="G32" i="14"/>
  <c r="G31" i="14"/>
  <c r="H30" i="14"/>
  <c r="H31" i="14" s="1"/>
  <c r="E42" i="14"/>
  <c r="E41" i="14"/>
  <c r="F42" i="14"/>
  <c r="F41" i="14"/>
  <c r="G42" i="14"/>
  <c r="G41" i="14"/>
  <c r="H40" i="14"/>
  <c r="H41" i="14" s="1"/>
  <c r="E52" i="14"/>
  <c r="E51" i="14"/>
  <c r="F52" i="14"/>
  <c r="F51" i="14"/>
  <c r="G52" i="14"/>
  <c r="G51" i="14"/>
  <c r="H50" i="14"/>
  <c r="H51" i="14" s="1"/>
  <c r="E62" i="14"/>
  <c r="E61" i="14"/>
  <c r="F62" i="14"/>
  <c r="F61" i="14"/>
  <c r="G62" i="14"/>
  <c r="G61" i="14"/>
  <c r="H60" i="14"/>
  <c r="H61" i="14" s="1"/>
  <c r="E72" i="14"/>
  <c r="E71" i="14"/>
  <c r="F72" i="14"/>
  <c r="F71" i="14"/>
  <c r="G72" i="14"/>
  <c r="G71" i="14"/>
  <c r="H70" i="14"/>
  <c r="H71" i="14" s="1"/>
  <c r="E82" i="14"/>
  <c r="E81" i="14"/>
  <c r="F82" i="14"/>
  <c r="F81" i="14"/>
  <c r="G82" i="14"/>
  <c r="G81" i="14"/>
  <c r="H80" i="14"/>
  <c r="H81" i="14" s="1"/>
  <c r="E92" i="14"/>
  <c r="E91" i="14"/>
  <c r="F92" i="14"/>
  <c r="F91" i="14"/>
  <c r="G92" i="14"/>
  <c r="G91" i="14"/>
  <c r="H90" i="14"/>
  <c r="H91" i="14" s="1"/>
  <c r="E102" i="14"/>
  <c r="E101" i="14"/>
  <c r="F102" i="14"/>
  <c r="F101" i="14"/>
  <c r="G102" i="14"/>
  <c r="G101" i="14"/>
  <c r="H100" i="14"/>
  <c r="H101" i="14" s="1"/>
  <c r="E106" i="15"/>
  <c r="E12" i="15"/>
  <c r="E11" i="15"/>
  <c r="F106" i="15"/>
  <c r="F12" i="15"/>
  <c r="F11" i="15"/>
  <c r="G106" i="15"/>
  <c r="G12" i="15"/>
  <c r="G11" i="15"/>
  <c r="H10" i="15"/>
  <c r="H11" i="15" s="1"/>
  <c r="E22" i="15"/>
  <c r="E21" i="15"/>
  <c r="F22" i="15"/>
  <c r="F21" i="15"/>
  <c r="G22" i="15"/>
  <c r="G21" i="15"/>
  <c r="H20" i="15"/>
  <c r="H21" i="15" s="1"/>
  <c r="E32" i="15"/>
  <c r="E31" i="15"/>
  <c r="F32" i="15"/>
  <c r="F31" i="15"/>
  <c r="G32" i="15"/>
  <c r="G31" i="15"/>
  <c r="H30" i="15"/>
  <c r="H31" i="15" s="1"/>
  <c r="E42" i="15"/>
  <c r="E41" i="15"/>
  <c r="F42" i="15"/>
  <c r="F41" i="15"/>
  <c r="G42" i="15"/>
  <c r="G41" i="15"/>
  <c r="H40" i="15"/>
  <c r="H41" i="15" s="1"/>
  <c r="E52" i="15"/>
  <c r="E51" i="15"/>
  <c r="F52" i="15"/>
  <c r="F51" i="15"/>
  <c r="G52" i="15"/>
  <c r="G51" i="15"/>
  <c r="H50" i="15"/>
  <c r="H51" i="15" s="1"/>
  <c r="E62" i="15"/>
  <c r="E61" i="15"/>
  <c r="F62" i="15"/>
  <c r="F61" i="15"/>
  <c r="G62" i="15"/>
  <c r="G61" i="15"/>
  <c r="H60" i="15"/>
  <c r="H61" i="15" s="1"/>
  <c r="E72" i="15"/>
  <c r="E71" i="15"/>
  <c r="F72" i="15"/>
  <c r="F71" i="15"/>
  <c r="G72" i="15"/>
  <c r="G71" i="15"/>
  <c r="H70" i="15"/>
  <c r="H71" i="15" s="1"/>
  <c r="E82" i="15"/>
  <c r="E81" i="15"/>
  <c r="F82" i="15"/>
  <c r="F81" i="15"/>
  <c r="G82" i="15"/>
  <c r="G81" i="15"/>
  <c r="H80" i="15"/>
  <c r="H81" i="15" s="1"/>
  <c r="E92" i="15"/>
  <c r="E91" i="15"/>
  <c r="F92" i="15"/>
  <c r="F91" i="15"/>
  <c r="G92" i="15"/>
  <c r="G91" i="15"/>
  <c r="H90" i="15"/>
  <c r="H91" i="15" s="1"/>
  <c r="E102" i="15"/>
  <c r="E101" i="15"/>
  <c r="F102" i="15"/>
  <c r="F101" i="15"/>
  <c r="G102" i="15"/>
  <c r="G101" i="15"/>
  <c r="H100" i="15"/>
  <c r="H101" i="15" s="1"/>
  <c r="E106" i="16"/>
  <c r="E12" i="16"/>
  <c r="E11" i="16"/>
  <c r="F106" i="16"/>
  <c r="F12" i="16"/>
  <c r="F11" i="16"/>
  <c r="G106" i="16"/>
  <c r="G12" i="16"/>
  <c r="G11" i="16"/>
  <c r="H10" i="16"/>
  <c r="H11" i="16" s="1"/>
  <c r="E22" i="16"/>
  <c r="E21" i="16"/>
  <c r="F22" i="16"/>
  <c r="F21" i="16"/>
  <c r="G22" i="16"/>
  <c r="G21" i="16"/>
  <c r="H20" i="16"/>
  <c r="H21" i="16" s="1"/>
  <c r="E32" i="16"/>
  <c r="E31" i="16"/>
  <c r="F32" i="16"/>
  <c r="F31" i="16"/>
  <c r="G32" i="16"/>
  <c r="G31" i="16"/>
  <c r="H30" i="16"/>
  <c r="H31" i="16" s="1"/>
  <c r="E42" i="16"/>
  <c r="E41" i="16"/>
  <c r="F42" i="16"/>
  <c r="F41" i="16"/>
  <c r="G42" i="16"/>
  <c r="G41" i="16"/>
  <c r="H40" i="16"/>
  <c r="H41" i="16" s="1"/>
  <c r="E52" i="16"/>
  <c r="E51" i="16"/>
  <c r="F52" i="16"/>
  <c r="F51" i="16"/>
  <c r="G52" i="16"/>
  <c r="G51" i="16"/>
  <c r="H50" i="16"/>
  <c r="H51" i="16" s="1"/>
  <c r="E62" i="16"/>
  <c r="E61" i="16"/>
  <c r="F62" i="16"/>
  <c r="F61" i="16"/>
  <c r="G62" i="16"/>
  <c r="G61" i="16"/>
  <c r="H60" i="16"/>
  <c r="H61" i="16" s="1"/>
  <c r="E72" i="16"/>
  <c r="E71" i="16"/>
  <c r="F72" i="16"/>
  <c r="F71" i="16"/>
  <c r="G72" i="16"/>
  <c r="G71" i="16"/>
  <c r="H70" i="16"/>
  <c r="H71" i="16" s="1"/>
  <c r="E82" i="16"/>
  <c r="E81" i="16"/>
  <c r="F82" i="16"/>
  <c r="F81" i="16"/>
  <c r="G82" i="16"/>
  <c r="G81" i="16"/>
  <c r="H80" i="16"/>
  <c r="H81" i="16" s="1"/>
  <c r="E92" i="16"/>
  <c r="E91" i="16"/>
  <c r="F92" i="16"/>
  <c r="F91" i="16"/>
  <c r="G92" i="16"/>
  <c r="G91" i="16"/>
  <c r="H90" i="16"/>
  <c r="H91" i="16" s="1"/>
  <c r="E102" i="16"/>
  <c r="E101" i="16"/>
  <c r="F102" i="16"/>
  <c r="F101" i="16"/>
  <c r="G102" i="16"/>
  <c r="G101" i="16"/>
  <c r="H100" i="16"/>
  <c r="H101" i="16" s="1"/>
  <c r="E106" i="17"/>
  <c r="E12" i="17"/>
  <c r="E11" i="17"/>
  <c r="F106" i="17"/>
  <c r="F12" i="17"/>
  <c r="F11" i="17"/>
  <c r="G106" i="17"/>
  <c r="G12" i="17"/>
  <c r="G11" i="17"/>
  <c r="H10" i="17"/>
  <c r="H11" i="17" s="1"/>
  <c r="E22" i="17"/>
  <c r="E21" i="17"/>
  <c r="F22" i="17"/>
  <c r="F21" i="17"/>
  <c r="G22" i="17"/>
  <c r="G21" i="17"/>
  <c r="H20" i="17"/>
  <c r="H21" i="17" s="1"/>
  <c r="E32" i="17"/>
  <c r="E31" i="17"/>
  <c r="F32" i="17"/>
  <c r="F31" i="17"/>
  <c r="G32" i="17"/>
  <c r="G31" i="17"/>
  <c r="H30" i="17"/>
  <c r="H31" i="17" s="1"/>
  <c r="E42" i="17"/>
  <c r="E41" i="17"/>
  <c r="F42" i="17"/>
  <c r="F41" i="17"/>
  <c r="G42" i="17"/>
  <c r="G41" i="17"/>
  <c r="H40" i="17"/>
  <c r="H41" i="17" s="1"/>
  <c r="E52" i="17"/>
  <c r="E51" i="17"/>
  <c r="F52" i="17"/>
  <c r="F51" i="17"/>
  <c r="G52" i="17"/>
  <c r="G51" i="17"/>
  <c r="H50" i="17"/>
  <c r="H51" i="17" s="1"/>
  <c r="E62" i="17"/>
  <c r="E61" i="17"/>
  <c r="F62" i="17"/>
  <c r="F61" i="17"/>
  <c r="G62" i="17"/>
  <c r="G61" i="17"/>
  <c r="H60" i="17"/>
  <c r="H61" i="17" s="1"/>
  <c r="E72" i="17"/>
  <c r="E71" i="17"/>
  <c r="F72" i="17"/>
  <c r="F71" i="17"/>
  <c r="G72" i="17"/>
  <c r="G71" i="17"/>
  <c r="H70" i="17"/>
  <c r="H71" i="17" s="1"/>
  <c r="E82" i="17"/>
  <c r="E81" i="17"/>
  <c r="F82" i="17"/>
  <c r="F81" i="17"/>
  <c r="G82" i="17"/>
  <c r="G81" i="17"/>
  <c r="H80" i="17"/>
  <c r="H81" i="17" s="1"/>
  <c r="E92" i="17"/>
  <c r="E91" i="17"/>
  <c r="F92" i="17"/>
  <c r="F91" i="17"/>
  <c r="G92" i="17"/>
  <c r="G91" i="17"/>
  <c r="H90" i="17"/>
  <c r="H91" i="17" s="1"/>
  <c r="E102" i="17"/>
  <c r="E101" i="17"/>
  <c r="F102" i="17"/>
  <c r="F101" i="17"/>
  <c r="G102" i="17"/>
  <c r="G101" i="17"/>
  <c r="H100" i="17"/>
  <c r="H101" i="17" s="1"/>
  <c r="E106" i="18"/>
  <c r="E12" i="18"/>
  <c r="E11" i="18"/>
  <c r="F106" i="18"/>
  <c r="F12" i="18"/>
  <c r="F11" i="18"/>
  <c r="G106" i="18"/>
  <c r="G12" i="18"/>
  <c r="G11" i="18"/>
  <c r="H10" i="18"/>
  <c r="H11" i="18" s="1"/>
  <c r="E22" i="18"/>
  <c r="E21" i="18"/>
  <c r="F22" i="18"/>
  <c r="F21" i="18"/>
  <c r="G22" i="18"/>
  <c r="G21" i="18"/>
  <c r="H20" i="18"/>
  <c r="H21" i="18" s="1"/>
  <c r="E32" i="18"/>
  <c r="E31" i="18"/>
  <c r="F32" i="18"/>
  <c r="F31" i="18"/>
  <c r="G32" i="18"/>
  <c r="G31" i="18"/>
  <c r="H30" i="18"/>
  <c r="H31" i="18" s="1"/>
  <c r="E42" i="18"/>
  <c r="E41" i="18"/>
  <c r="F42" i="18"/>
  <c r="F41" i="18"/>
  <c r="G42" i="18"/>
  <c r="G41" i="18"/>
  <c r="H40" i="18"/>
  <c r="H41" i="18" s="1"/>
  <c r="E52" i="18"/>
  <c r="E51" i="18"/>
  <c r="F52" i="18"/>
  <c r="F51" i="18"/>
  <c r="G52" i="18"/>
  <c r="G51" i="18"/>
  <c r="H50" i="18"/>
  <c r="H51" i="18" s="1"/>
  <c r="E62" i="18"/>
  <c r="E61" i="18"/>
  <c r="F62" i="18"/>
  <c r="F61" i="18"/>
  <c r="G62" i="18"/>
  <c r="G61" i="18"/>
  <c r="H60" i="18"/>
  <c r="H61" i="18" s="1"/>
  <c r="E72" i="18"/>
  <c r="E71" i="18"/>
  <c r="F72" i="18"/>
  <c r="F71" i="18"/>
  <c r="G72" i="18"/>
  <c r="G71" i="18"/>
  <c r="H70" i="18"/>
  <c r="H71" i="18" s="1"/>
  <c r="E82" i="18"/>
  <c r="E81" i="18"/>
  <c r="F82" i="18"/>
  <c r="F81" i="18"/>
  <c r="G82" i="18"/>
  <c r="G81" i="18"/>
  <c r="H80" i="18"/>
  <c r="H81" i="18" s="1"/>
  <c r="E92" i="18"/>
  <c r="E91" i="18"/>
  <c r="F92" i="18"/>
  <c r="F91" i="18"/>
  <c r="G92" i="18"/>
  <c r="G91" i="18"/>
  <c r="H90" i="18"/>
  <c r="H91" i="18" s="1"/>
  <c r="E102" i="18"/>
  <c r="E101" i="18"/>
  <c r="F102" i="18"/>
  <c r="F101" i="18"/>
  <c r="G102" i="18"/>
  <c r="G101" i="18"/>
  <c r="H100" i="18"/>
  <c r="H101" i="18" s="1"/>
  <c r="G104" i="18" l="1"/>
  <c r="G103" i="18"/>
  <c r="F104" i="18"/>
  <c r="F103" i="18"/>
  <c r="E104" i="18"/>
  <c r="E103" i="18"/>
  <c r="G94" i="18"/>
  <c r="G93" i="18"/>
  <c r="F94" i="18"/>
  <c r="F93" i="18"/>
  <c r="E94" i="18"/>
  <c r="E93" i="18"/>
  <c r="G84" i="18"/>
  <c r="G83" i="18"/>
  <c r="F84" i="18"/>
  <c r="F83" i="18"/>
  <c r="E84" i="18"/>
  <c r="E83" i="18"/>
  <c r="G74" i="18"/>
  <c r="G73" i="18"/>
  <c r="F74" i="18"/>
  <c r="F73" i="18"/>
  <c r="E74" i="18"/>
  <c r="E73" i="18"/>
  <c r="G64" i="18"/>
  <c r="G63" i="18"/>
  <c r="F64" i="18"/>
  <c r="F63" i="18"/>
  <c r="E64" i="18"/>
  <c r="E63" i="18"/>
  <c r="G54" i="18"/>
  <c r="G53" i="18"/>
  <c r="F54" i="18"/>
  <c r="F53" i="18"/>
  <c r="E54" i="18"/>
  <c r="E53" i="18"/>
  <c r="G44" i="18"/>
  <c r="G43" i="18"/>
  <c r="F44" i="18"/>
  <c r="F43" i="18"/>
  <c r="E44" i="18"/>
  <c r="E43" i="18"/>
  <c r="G34" i="18"/>
  <c r="G33" i="18"/>
  <c r="F34" i="18"/>
  <c r="F33" i="18"/>
  <c r="E34" i="18"/>
  <c r="E33" i="18"/>
  <c r="G24" i="18"/>
  <c r="G23" i="18"/>
  <c r="F24" i="18"/>
  <c r="F23" i="18"/>
  <c r="E24" i="18"/>
  <c r="E23" i="18"/>
  <c r="G14" i="18"/>
  <c r="G13" i="18"/>
  <c r="G108" i="18"/>
  <c r="G107" i="18"/>
  <c r="H106" i="18"/>
  <c r="F14" i="18"/>
  <c r="F13" i="18"/>
  <c r="F108" i="18"/>
  <c r="F107" i="18"/>
  <c r="E14" i="18"/>
  <c r="E13" i="18"/>
  <c r="E108" i="18"/>
  <c r="E107" i="18"/>
  <c r="G104" i="17"/>
  <c r="G103" i="17"/>
  <c r="F104" i="17"/>
  <c r="F103" i="17"/>
  <c r="E104" i="17"/>
  <c r="E103" i="17"/>
  <c r="G94" i="17"/>
  <c r="G93" i="17"/>
  <c r="F94" i="17"/>
  <c r="F93" i="17"/>
  <c r="E94" i="17"/>
  <c r="E93" i="17"/>
  <c r="G84" i="17"/>
  <c r="G83" i="17"/>
  <c r="F84" i="17"/>
  <c r="F83" i="17"/>
  <c r="E84" i="17"/>
  <c r="E83" i="17"/>
  <c r="G74" i="17"/>
  <c r="G73" i="17"/>
  <c r="F74" i="17"/>
  <c r="F73" i="17"/>
  <c r="E74" i="17"/>
  <c r="E73" i="17"/>
  <c r="G64" i="17"/>
  <c r="G63" i="17"/>
  <c r="F64" i="17"/>
  <c r="F63" i="17"/>
  <c r="E64" i="17"/>
  <c r="E63" i="17"/>
  <c r="G54" i="17"/>
  <c r="G53" i="17"/>
  <c r="F54" i="17"/>
  <c r="F53" i="17"/>
  <c r="E54" i="17"/>
  <c r="E53" i="17"/>
  <c r="G44" i="17"/>
  <c r="G43" i="17"/>
  <c r="F44" i="17"/>
  <c r="F43" i="17"/>
  <c r="E44" i="17"/>
  <c r="E43" i="17"/>
  <c r="G34" i="17"/>
  <c r="G33" i="17"/>
  <c r="F34" i="17"/>
  <c r="F33" i="17"/>
  <c r="E34" i="17"/>
  <c r="E33" i="17"/>
  <c r="G24" i="17"/>
  <c r="G23" i="17"/>
  <c r="F24" i="17"/>
  <c r="F23" i="17"/>
  <c r="E24" i="17"/>
  <c r="E23" i="17"/>
  <c r="G14" i="17"/>
  <c r="G13" i="17"/>
  <c r="G108" i="17"/>
  <c r="G107" i="17"/>
  <c r="H106" i="17"/>
  <c r="F14" i="17"/>
  <c r="F13" i="17"/>
  <c r="F108" i="17"/>
  <c r="F107" i="17"/>
  <c r="E14" i="17"/>
  <c r="E13" i="17"/>
  <c r="E108" i="17"/>
  <c r="E107" i="17"/>
  <c r="G104" i="16"/>
  <c r="G103" i="16"/>
  <c r="F104" i="16"/>
  <c r="F103" i="16"/>
  <c r="E104" i="16"/>
  <c r="E103" i="16"/>
  <c r="G94" i="16"/>
  <c r="G93" i="16"/>
  <c r="F94" i="16"/>
  <c r="F93" i="16"/>
  <c r="E94" i="16"/>
  <c r="E93" i="16"/>
  <c r="G84" i="16"/>
  <c r="G83" i="16"/>
  <c r="F84" i="16"/>
  <c r="F83" i="16"/>
  <c r="E84" i="16"/>
  <c r="E83" i="16"/>
  <c r="G74" i="16"/>
  <c r="G73" i="16"/>
  <c r="F74" i="16"/>
  <c r="F73" i="16"/>
  <c r="E74" i="16"/>
  <c r="E73" i="16"/>
  <c r="G64" i="16"/>
  <c r="G63" i="16"/>
  <c r="F64" i="16"/>
  <c r="F63" i="16"/>
  <c r="E64" i="16"/>
  <c r="E63" i="16"/>
  <c r="G54" i="16"/>
  <c r="G53" i="16"/>
  <c r="F54" i="16"/>
  <c r="F53" i="16"/>
  <c r="E54" i="16"/>
  <c r="E53" i="16"/>
  <c r="G44" i="16"/>
  <c r="G43" i="16"/>
  <c r="F44" i="16"/>
  <c r="F43" i="16"/>
  <c r="E44" i="16"/>
  <c r="E43" i="16"/>
  <c r="G34" i="16"/>
  <c r="G33" i="16"/>
  <c r="F34" i="16"/>
  <c r="F33" i="16"/>
  <c r="E34" i="16"/>
  <c r="E33" i="16"/>
  <c r="G24" i="16"/>
  <c r="G23" i="16"/>
  <c r="F24" i="16"/>
  <c r="F23" i="16"/>
  <c r="E24" i="16"/>
  <c r="E23" i="16"/>
  <c r="G14" i="16"/>
  <c r="G13" i="16"/>
  <c r="G108" i="16"/>
  <c r="G107" i="16"/>
  <c r="H106" i="16"/>
  <c r="F14" i="16"/>
  <c r="F13" i="16"/>
  <c r="F108" i="16"/>
  <c r="F107" i="16"/>
  <c r="E14" i="16"/>
  <c r="E13" i="16"/>
  <c r="E108" i="16"/>
  <c r="E107" i="16"/>
  <c r="G104" i="15"/>
  <c r="G103" i="15"/>
  <c r="F104" i="15"/>
  <c r="F103" i="15"/>
  <c r="E104" i="15"/>
  <c r="E103" i="15"/>
  <c r="G94" i="15"/>
  <c r="G93" i="15"/>
  <c r="F94" i="15"/>
  <c r="F93" i="15"/>
  <c r="E94" i="15"/>
  <c r="E93" i="15"/>
  <c r="G84" i="15"/>
  <c r="G83" i="15"/>
  <c r="F84" i="15"/>
  <c r="F83" i="15"/>
  <c r="E84" i="15"/>
  <c r="E83" i="15"/>
  <c r="G74" i="15"/>
  <c r="G73" i="15"/>
  <c r="F74" i="15"/>
  <c r="F73" i="15"/>
  <c r="E74" i="15"/>
  <c r="E73" i="15"/>
  <c r="G64" i="15"/>
  <c r="G63" i="15"/>
  <c r="F64" i="15"/>
  <c r="F63" i="15"/>
  <c r="E64" i="15"/>
  <c r="E63" i="15"/>
  <c r="G54" i="15"/>
  <c r="G53" i="15"/>
  <c r="F54" i="15"/>
  <c r="F53" i="15"/>
  <c r="E54" i="15"/>
  <c r="E53" i="15"/>
  <c r="G44" i="15"/>
  <c r="G43" i="15"/>
  <c r="F44" i="15"/>
  <c r="F43" i="15"/>
  <c r="E44" i="15"/>
  <c r="E43" i="15"/>
  <c r="G34" i="15"/>
  <c r="G33" i="15"/>
  <c r="F34" i="15"/>
  <c r="F33" i="15"/>
  <c r="E34" i="15"/>
  <c r="E33" i="15"/>
  <c r="G24" i="15"/>
  <c r="G23" i="15"/>
  <c r="F24" i="15"/>
  <c r="F23" i="15"/>
  <c r="E24" i="15"/>
  <c r="E23" i="15"/>
  <c r="G14" i="15"/>
  <c r="G13" i="15"/>
  <c r="G108" i="15"/>
  <c r="G107" i="15"/>
  <c r="H106" i="15"/>
  <c r="F14" i="15"/>
  <c r="F13" i="15"/>
  <c r="F108" i="15"/>
  <c r="F107" i="15"/>
  <c r="E14" i="15"/>
  <c r="E13" i="15"/>
  <c r="E108" i="15"/>
  <c r="E107" i="15"/>
  <c r="G104" i="14"/>
  <c r="G103" i="14"/>
  <c r="F104" i="14"/>
  <c r="F103" i="14"/>
  <c r="E104" i="14"/>
  <c r="E103" i="14"/>
  <c r="G94" i="14"/>
  <c r="G93" i="14"/>
  <c r="F94" i="14"/>
  <c r="F93" i="14"/>
  <c r="E94" i="14"/>
  <c r="E93" i="14"/>
  <c r="G84" i="14"/>
  <c r="G83" i="14"/>
  <c r="F84" i="14"/>
  <c r="F83" i="14"/>
  <c r="E84" i="14"/>
  <c r="E83" i="14"/>
  <c r="G74" i="14"/>
  <c r="G73" i="14"/>
  <c r="F74" i="14"/>
  <c r="F73" i="14"/>
  <c r="E74" i="14"/>
  <c r="E73" i="14"/>
  <c r="G64" i="14"/>
  <c r="G63" i="14"/>
  <c r="F64" i="14"/>
  <c r="F63" i="14"/>
  <c r="E64" i="14"/>
  <c r="E63" i="14"/>
  <c r="G54" i="14"/>
  <c r="G53" i="14"/>
  <c r="F54" i="14"/>
  <c r="F53" i="14"/>
  <c r="E54" i="14"/>
  <c r="E53" i="14"/>
  <c r="G44" i="14"/>
  <c r="G43" i="14"/>
  <c r="F44" i="14"/>
  <c r="F43" i="14"/>
  <c r="E44" i="14"/>
  <c r="E43" i="14"/>
  <c r="G34" i="14"/>
  <c r="G33" i="14"/>
  <c r="F34" i="14"/>
  <c r="F33" i="14"/>
  <c r="E34" i="14"/>
  <c r="E33" i="14"/>
  <c r="G24" i="14"/>
  <c r="G23" i="14"/>
  <c r="F24" i="14"/>
  <c r="F23" i="14"/>
  <c r="E24" i="14"/>
  <c r="E23" i="14"/>
  <c r="G14" i="14"/>
  <c r="G13" i="14"/>
  <c r="G108" i="14"/>
  <c r="G107" i="14"/>
  <c r="H106" i="14"/>
  <c r="F14" i="14"/>
  <c r="F13" i="14"/>
  <c r="F108" i="14"/>
  <c r="F107" i="14"/>
  <c r="E14" i="14"/>
  <c r="E13" i="14"/>
  <c r="E108" i="14"/>
  <c r="E107" i="14"/>
  <c r="G104" i="13"/>
  <c r="G103" i="13"/>
  <c r="F104" i="13"/>
  <c r="F103" i="13"/>
  <c r="E104" i="13"/>
  <c r="E103" i="13"/>
  <c r="G94" i="13"/>
  <c r="G93" i="13"/>
  <c r="F94" i="13"/>
  <c r="F93" i="13"/>
  <c r="E94" i="13"/>
  <c r="E93" i="13"/>
  <c r="G84" i="13"/>
  <c r="G83" i="13"/>
  <c r="F84" i="13"/>
  <c r="F83" i="13"/>
  <c r="E84" i="13"/>
  <c r="E83" i="13"/>
  <c r="G74" i="13"/>
  <c r="G73" i="13"/>
  <c r="F74" i="13"/>
  <c r="F73" i="13"/>
  <c r="E74" i="13"/>
  <c r="E73" i="13"/>
  <c r="G64" i="13"/>
  <c r="G63" i="13"/>
  <c r="F64" i="13"/>
  <c r="F63" i="13"/>
  <c r="E64" i="13"/>
  <c r="E63" i="13"/>
  <c r="G54" i="13"/>
  <c r="G53" i="13"/>
  <c r="F54" i="13"/>
  <c r="F53" i="13"/>
  <c r="E54" i="13"/>
  <c r="E53" i="13"/>
  <c r="G44" i="13"/>
  <c r="G43" i="13"/>
  <c r="F44" i="13"/>
  <c r="F43" i="13"/>
  <c r="E44" i="13"/>
  <c r="E43" i="13"/>
  <c r="G34" i="13"/>
  <c r="G33" i="13"/>
  <c r="F34" i="13"/>
  <c r="F33" i="13"/>
  <c r="E34" i="13"/>
  <c r="E33" i="13"/>
  <c r="G24" i="13"/>
  <c r="G23" i="13"/>
  <c r="F24" i="13"/>
  <c r="F23" i="13"/>
  <c r="E24" i="13"/>
  <c r="E23" i="13"/>
  <c r="G14" i="13"/>
  <c r="G13" i="13"/>
  <c r="G108" i="13"/>
  <c r="G107" i="13"/>
  <c r="H106" i="13"/>
  <c r="F14" i="13"/>
  <c r="F13" i="13"/>
  <c r="F108" i="13"/>
  <c r="F107" i="13"/>
  <c r="E14" i="13"/>
  <c r="E13" i="13"/>
  <c r="E108" i="13"/>
  <c r="E107" i="13"/>
  <c r="G104" i="12"/>
  <c r="G103" i="12"/>
  <c r="F104" i="12"/>
  <c r="F103" i="12"/>
  <c r="E104" i="12"/>
  <c r="E103" i="12"/>
  <c r="G94" i="12"/>
  <c r="G93" i="12"/>
  <c r="F94" i="12"/>
  <c r="F93" i="12"/>
  <c r="E94" i="12"/>
  <c r="E93" i="12"/>
  <c r="G84" i="12"/>
  <c r="G83" i="12"/>
  <c r="F84" i="12"/>
  <c r="F83" i="12"/>
  <c r="E84" i="12"/>
  <c r="E83" i="12"/>
  <c r="G74" i="12"/>
  <c r="G73" i="12"/>
  <c r="F74" i="12"/>
  <c r="F73" i="12"/>
  <c r="E74" i="12"/>
  <c r="E73" i="12"/>
  <c r="G64" i="12"/>
  <c r="G63" i="12"/>
  <c r="F64" i="12"/>
  <c r="F63" i="12"/>
  <c r="E64" i="12"/>
  <c r="E63" i="12"/>
  <c r="G54" i="12"/>
  <c r="G53" i="12"/>
  <c r="F54" i="12"/>
  <c r="F53" i="12"/>
  <c r="E54" i="12"/>
  <c r="E53" i="12"/>
  <c r="G44" i="12"/>
  <c r="G43" i="12"/>
  <c r="F44" i="12"/>
  <c r="F43" i="12"/>
  <c r="E44" i="12"/>
  <c r="E43" i="12"/>
  <c r="G34" i="12"/>
  <c r="G33" i="12"/>
  <c r="F34" i="12"/>
  <c r="F33" i="12"/>
  <c r="E34" i="12"/>
  <c r="E33" i="12"/>
  <c r="G24" i="12"/>
  <c r="G23" i="12"/>
  <c r="F24" i="12"/>
  <c r="F23" i="12"/>
  <c r="E24" i="12"/>
  <c r="E23" i="12"/>
  <c r="G14" i="12"/>
  <c r="G13" i="12"/>
  <c r="G108" i="12"/>
  <c r="G107" i="12"/>
  <c r="H106" i="12"/>
  <c r="F14" i="12"/>
  <c r="F13" i="12"/>
  <c r="F108" i="12"/>
  <c r="F107" i="12"/>
  <c r="E14" i="12"/>
  <c r="E13" i="12"/>
  <c r="E108" i="12"/>
  <c r="E107" i="12"/>
  <c r="G104" i="11"/>
  <c r="G103" i="11"/>
  <c r="F104" i="11"/>
  <c r="F103" i="11"/>
  <c r="E104" i="11"/>
  <c r="E103" i="11"/>
  <c r="G94" i="11"/>
  <c r="G93" i="11"/>
  <c r="F94" i="11"/>
  <c r="F93" i="11"/>
  <c r="E94" i="11"/>
  <c r="E93" i="11"/>
  <c r="G84" i="11"/>
  <c r="G83" i="11"/>
  <c r="F84" i="11"/>
  <c r="F83" i="11"/>
  <c r="E84" i="11"/>
  <c r="E83" i="11"/>
  <c r="G74" i="11"/>
  <c r="G73" i="11"/>
  <c r="F74" i="11"/>
  <c r="F73" i="11"/>
  <c r="E74" i="11"/>
  <c r="E73" i="11"/>
  <c r="G64" i="11"/>
  <c r="G63" i="11"/>
  <c r="F64" i="11"/>
  <c r="F63" i="11"/>
  <c r="E64" i="11"/>
  <c r="E63" i="11"/>
  <c r="G54" i="11"/>
  <c r="G53" i="11"/>
  <c r="F54" i="11"/>
  <c r="F53" i="11"/>
  <c r="E54" i="11"/>
  <c r="E53" i="11"/>
  <c r="G44" i="11"/>
  <c r="G43" i="11"/>
  <c r="F44" i="11"/>
  <c r="F43" i="11"/>
  <c r="E44" i="11"/>
  <c r="E43" i="11"/>
  <c r="G34" i="11"/>
  <c r="G33" i="11"/>
  <c r="F34" i="11"/>
  <c r="F33" i="11"/>
  <c r="E34" i="11"/>
  <c r="E33" i="11"/>
  <c r="G24" i="11"/>
  <c r="G23" i="11"/>
  <c r="F24" i="11"/>
  <c r="F23" i="11"/>
  <c r="E24" i="11"/>
  <c r="E23" i="11"/>
  <c r="G14" i="11"/>
  <c r="G13" i="11"/>
  <c r="G108" i="11"/>
  <c r="G107" i="11"/>
  <c r="H106" i="11"/>
  <c r="F14" i="11"/>
  <c r="F13" i="11"/>
  <c r="F108" i="11"/>
  <c r="F107" i="11"/>
  <c r="E14" i="11"/>
  <c r="E13" i="11"/>
  <c r="E108" i="11"/>
  <c r="E107" i="11"/>
  <c r="G104" i="10"/>
  <c r="G103" i="10"/>
  <c r="F104" i="10"/>
  <c r="F103" i="10"/>
  <c r="E104" i="10"/>
  <c r="E103" i="10"/>
  <c r="G94" i="10"/>
  <c r="G93" i="10"/>
  <c r="F94" i="10"/>
  <c r="F93" i="10"/>
  <c r="E94" i="10"/>
  <c r="E93" i="10"/>
  <c r="G84" i="10"/>
  <c r="G83" i="10"/>
  <c r="F84" i="10"/>
  <c r="F83" i="10"/>
  <c r="E84" i="10"/>
  <c r="E83" i="10"/>
  <c r="G74" i="10"/>
  <c r="G73" i="10"/>
  <c r="F74" i="10"/>
  <c r="F73" i="10"/>
  <c r="E74" i="10"/>
  <c r="E73" i="10"/>
  <c r="G64" i="10"/>
  <c r="G63" i="10"/>
  <c r="F64" i="10"/>
  <c r="F63" i="10"/>
  <c r="E64" i="10"/>
  <c r="E63" i="10"/>
  <c r="G54" i="10"/>
  <c r="G53" i="10"/>
  <c r="F54" i="10"/>
  <c r="F53" i="10"/>
  <c r="E54" i="10"/>
  <c r="E53" i="10"/>
  <c r="G44" i="10"/>
  <c r="G43" i="10"/>
  <c r="F44" i="10"/>
  <c r="F43" i="10"/>
  <c r="E44" i="10"/>
  <c r="E43" i="10"/>
  <c r="G34" i="10"/>
  <c r="G33" i="10"/>
  <c r="F34" i="10"/>
  <c r="F33" i="10"/>
  <c r="E34" i="10"/>
  <c r="E33" i="10"/>
  <c r="G24" i="10"/>
  <c r="G23" i="10"/>
  <c r="F24" i="10"/>
  <c r="F23" i="10"/>
  <c r="E24" i="10"/>
  <c r="E23" i="10"/>
  <c r="G14" i="10"/>
  <c r="G13" i="10"/>
  <c r="G108" i="10"/>
  <c r="G107" i="10"/>
  <c r="H106" i="10"/>
  <c r="F14" i="10"/>
  <c r="F13" i="10"/>
  <c r="F108" i="10"/>
  <c r="F107" i="10"/>
  <c r="E14" i="10"/>
  <c r="E13" i="10"/>
  <c r="E108" i="10"/>
  <c r="E107" i="10"/>
  <c r="G104" i="9"/>
  <c r="G103" i="9"/>
  <c r="F104" i="9"/>
  <c r="F103" i="9"/>
  <c r="E104" i="9"/>
  <c r="E103" i="9"/>
  <c r="G94" i="9"/>
  <c r="G93" i="9"/>
  <c r="F94" i="9"/>
  <c r="F93" i="9"/>
  <c r="E94" i="9"/>
  <c r="E93" i="9"/>
  <c r="G84" i="9"/>
  <c r="G83" i="9"/>
  <c r="F84" i="9"/>
  <c r="F83" i="9"/>
  <c r="E84" i="9"/>
  <c r="E83" i="9"/>
  <c r="G74" i="9"/>
  <c r="G73" i="9"/>
  <c r="F74" i="9"/>
  <c r="F73" i="9"/>
  <c r="E74" i="9"/>
  <c r="E73" i="9"/>
  <c r="G64" i="9"/>
  <c r="G63" i="9"/>
  <c r="F64" i="9"/>
  <c r="F63" i="9"/>
  <c r="E64" i="9"/>
  <c r="E63" i="9"/>
  <c r="G54" i="9"/>
  <c r="G53" i="9"/>
  <c r="F54" i="9"/>
  <c r="F53" i="9"/>
  <c r="E54" i="9"/>
  <c r="E53" i="9"/>
  <c r="G44" i="9"/>
  <c r="G43" i="9"/>
  <c r="F44" i="9"/>
  <c r="F43" i="9"/>
  <c r="E44" i="9"/>
  <c r="E43" i="9"/>
  <c r="G34" i="9"/>
  <c r="G33" i="9"/>
  <c r="F34" i="9"/>
  <c r="F33" i="9"/>
  <c r="E34" i="9"/>
  <c r="E33" i="9"/>
  <c r="G24" i="9"/>
  <c r="G23" i="9"/>
  <c r="F24" i="9"/>
  <c r="F23" i="9"/>
  <c r="E24" i="9"/>
  <c r="E23" i="9"/>
  <c r="G14" i="9"/>
  <c r="G13" i="9"/>
  <c r="G108" i="9"/>
  <c r="G107" i="9"/>
  <c r="H106" i="9"/>
  <c r="F14" i="9"/>
  <c r="F13" i="9"/>
  <c r="F108" i="9"/>
  <c r="F107" i="9"/>
  <c r="E14" i="9"/>
  <c r="E13" i="9"/>
  <c r="E108" i="9"/>
  <c r="E107" i="9"/>
  <c r="G104" i="8"/>
  <c r="G103" i="8"/>
  <c r="F104" i="8"/>
  <c r="F103" i="8"/>
  <c r="E104" i="8"/>
  <c r="E103" i="8"/>
  <c r="G94" i="8"/>
  <c r="G93" i="8"/>
  <c r="F94" i="8"/>
  <c r="F93" i="8"/>
  <c r="E94" i="8"/>
  <c r="E93" i="8"/>
  <c r="G84" i="8"/>
  <c r="G83" i="8"/>
  <c r="F84" i="8"/>
  <c r="F83" i="8"/>
  <c r="E84" i="8"/>
  <c r="E83" i="8"/>
  <c r="G74" i="8"/>
  <c r="G73" i="8"/>
  <c r="F74" i="8"/>
  <c r="F73" i="8"/>
  <c r="E74" i="8"/>
  <c r="E73" i="8"/>
  <c r="G64" i="8"/>
  <c r="G63" i="8"/>
  <c r="F64" i="8"/>
  <c r="F63" i="8"/>
  <c r="E64" i="8"/>
  <c r="E63" i="8"/>
  <c r="G54" i="8"/>
  <c r="G53" i="8"/>
  <c r="F54" i="8"/>
  <c r="F53" i="8"/>
  <c r="E54" i="8"/>
  <c r="E53" i="8"/>
  <c r="G44" i="8"/>
  <c r="G43" i="8"/>
  <c r="F44" i="8"/>
  <c r="F43" i="8"/>
  <c r="E44" i="8"/>
  <c r="E43" i="8"/>
  <c r="G34" i="8"/>
  <c r="G33" i="8"/>
  <c r="F34" i="8"/>
  <c r="F33" i="8"/>
  <c r="E34" i="8"/>
  <c r="E33" i="8"/>
  <c r="G24" i="8"/>
  <c r="G23" i="8"/>
  <c r="F24" i="8"/>
  <c r="F23" i="8"/>
  <c r="E24" i="8"/>
  <c r="E23" i="8"/>
  <c r="G14" i="8"/>
  <c r="G13" i="8"/>
  <c r="G108" i="8"/>
  <c r="G107" i="8"/>
  <c r="H106" i="8"/>
  <c r="F14" i="8"/>
  <c r="F13" i="8"/>
  <c r="F108" i="8"/>
  <c r="F107" i="8"/>
  <c r="E14" i="8"/>
  <c r="E13" i="8"/>
  <c r="E108" i="8"/>
  <c r="E107" i="8"/>
  <c r="G104" i="7"/>
  <c r="G103" i="7"/>
  <c r="F104" i="7"/>
  <c r="F103" i="7"/>
  <c r="E104" i="7"/>
  <c r="E103" i="7"/>
  <c r="G94" i="7"/>
  <c r="G93" i="7"/>
  <c r="F94" i="7"/>
  <c r="F93" i="7"/>
  <c r="E94" i="7"/>
  <c r="E93" i="7"/>
  <c r="G84" i="7"/>
  <c r="G83" i="7"/>
  <c r="F84" i="7"/>
  <c r="F83" i="7"/>
  <c r="E84" i="7"/>
  <c r="E83" i="7"/>
  <c r="G74" i="7"/>
  <c r="G73" i="7"/>
  <c r="F74" i="7"/>
  <c r="F73" i="7"/>
  <c r="E74" i="7"/>
  <c r="E73" i="7"/>
  <c r="G64" i="7"/>
  <c r="G63" i="7"/>
  <c r="F64" i="7"/>
  <c r="F63" i="7"/>
  <c r="E64" i="7"/>
  <c r="E63" i="7"/>
  <c r="G54" i="7"/>
  <c r="G53" i="7"/>
  <c r="F54" i="7"/>
  <c r="F53" i="7"/>
  <c r="E54" i="7"/>
  <c r="E53" i="7"/>
  <c r="G44" i="7"/>
  <c r="G43" i="7"/>
  <c r="F44" i="7"/>
  <c r="F43" i="7"/>
  <c r="E44" i="7"/>
  <c r="E43" i="7"/>
  <c r="G34" i="7"/>
  <c r="G33" i="7"/>
  <c r="F34" i="7"/>
  <c r="F33" i="7"/>
  <c r="E34" i="7"/>
  <c r="E33" i="7"/>
  <c r="G24" i="7"/>
  <c r="G23" i="7"/>
  <c r="F24" i="7"/>
  <c r="F23" i="7"/>
  <c r="E24" i="7"/>
  <c r="E23" i="7"/>
  <c r="G14" i="7"/>
  <c r="G13" i="7"/>
  <c r="G108" i="7"/>
  <c r="G107" i="7"/>
  <c r="H106" i="7"/>
  <c r="F14" i="7"/>
  <c r="F13" i="7"/>
  <c r="F108" i="7"/>
  <c r="F107" i="7"/>
  <c r="E14" i="7"/>
  <c r="E13" i="7"/>
  <c r="E108" i="7"/>
  <c r="E107" i="7"/>
  <c r="G104" i="6"/>
  <c r="G103" i="6"/>
  <c r="F104" i="6"/>
  <c r="F103" i="6"/>
  <c r="E104" i="6"/>
  <c r="E103" i="6"/>
  <c r="G94" i="6"/>
  <c r="G93" i="6"/>
  <c r="F94" i="6"/>
  <c r="F93" i="6"/>
  <c r="E94" i="6"/>
  <c r="E93" i="6"/>
  <c r="G84" i="6"/>
  <c r="G83" i="6"/>
  <c r="F84" i="6"/>
  <c r="F83" i="6"/>
  <c r="E84" i="6"/>
  <c r="E83" i="6"/>
  <c r="G74" i="6"/>
  <c r="G73" i="6"/>
  <c r="F74" i="6"/>
  <c r="F73" i="6"/>
  <c r="E74" i="6"/>
  <c r="E73" i="6"/>
  <c r="G64" i="6"/>
  <c r="G63" i="6"/>
  <c r="F64" i="6"/>
  <c r="F63" i="6"/>
  <c r="E64" i="6"/>
  <c r="E63" i="6"/>
  <c r="G54" i="6"/>
  <c r="G53" i="6"/>
  <c r="F54" i="6"/>
  <c r="F53" i="6"/>
  <c r="E54" i="6"/>
  <c r="E53" i="6"/>
  <c r="G44" i="6"/>
  <c r="G43" i="6"/>
  <c r="F44" i="6"/>
  <c r="F43" i="6"/>
  <c r="E44" i="6"/>
  <c r="E43" i="6"/>
  <c r="G34" i="6"/>
  <c r="G33" i="6"/>
  <c r="F34" i="6"/>
  <c r="F33" i="6"/>
  <c r="E34" i="6"/>
  <c r="E33" i="6"/>
  <c r="G24" i="6"/>
  <c r="G23" i="6"/>
  <c r="F24" i="6"/>
  <c r="F23" i="6"/>
  <c r="E24" i="6"/>
  <c r="E23" i="6"/>
  <c r="G14" i="6"/>
  <c r="G13" i="6"/>
  <c r="G108" i="6"/>
  <c r="G107" i="6"/>
  <c r="H106" i="6"/>
  <c r="F14" i="6"/>
  <c r="F13" i="6"/>
  <c r="F108" i="6"/>
  <c r="F107" i="6"/>
  <c r="E14" i="6"/>
  <c r="E13" i="6"/>
  <c r="E108" i="6"/>
  <c r="E107" i="6"/>
  <c r="G104" i="5"/>
  <c r="G103" i="5"/>
  <c r="F104" i="5"/>
  <c r="F103" i="5"/>
  <c r="E104" i="5"/>
  <c r="E103" i="5"/>
  <c r="G94" i="5"/>
  <c r="G93" i="5"/>
  <c r="F94" i="5"/>
  <c r="F93" i="5"/>
  <c r="E94" i="5"/>
  <c r="E93" i="5"/>
  <c r="G84" i="5"/>
  <c r="G83" i="5"/>
  <c r="F84" i="5"/>
  <c r="F83" i="5"/>
  <c r="E84" i="5"/>
  <c r="E83" i="5"/>
  <c r="G74" i="5"/>
  <c r="G73" i="5"/>
  <c r="F74" i="5"/>
  <c r="F73" i="5"/>
  <c r="E74" i="5"/>
  <c r="E73" i="5"/>
  <c r="G64" i="5"/>
  <c r="G63" i="5"/>
  <c r="F64" i="5"/>
  <c r="F63" i="5"/>
  <c r="E64" i="5"/>
  <c r="E63" i="5"/>
  <c r="G54" i="5"/>
  <c r="G53" i="5"/>
  <c r="F54" i="5"/>
  <c r="F53" i="5"/>
  <c r="E54" i="5"/>
  <c r="E53" i="5"/>
  <c r="G44" i="5"/>
  <c r="G43" i="5"/>
  <c r="F44" i="5"/>
  <c r="F43" i="5"/>
  <c r="E44" i="5"/>
  <c r="E43" i="5"/>
  <c r="G34" i="5"/>
  <c r="G33" i="5"/>
  <c r="F34" i="5"/>
  <c r="F33" i="5"/>
  <c r="E34" i="5"/>
  <c r="E33" i="5"/>
  <c r="G24" i="5"/>
  <c r="G23" i="5"/>
  <c r="F24" i="5"/>
  <c r="F23" i="5"/>
  <c r="E24" i="5"/>
  <c r="E23" i="5"/>
  <c r="G14" i="5"/>
  <c r="G13" i="5"/>
  <c r="G108" i="5"/>
  <c r="G107" i="5"/>
  <c r="H106" i="5"/>
  <c r="F14" i="5"/>
  <c r="F13" i="5"/>
  <c r="F108" i="5"/>
  <c r="F107" i="5"/>
  <c r="E14" i="5"/>
  <c r="E13" i="5"/>
  <c r="E108" i="5"/>
  <c r="E107" i="5"/>
  <c r="G104" i="4"/>
  <c r="G103" i="4"/>
  <c r="F104" i="4"/>
  <c r="F103" i="4"/>
  <c r="E104" i="4"/>
  <c r="E103" i="4"/>
  <c r="G94" i="4"/>
  <c r="G93" i="4"/>
  <c r="F94" i="4"/>
  <c r="F93" i="4"/>
  <c r="E94" i="4"/>
  <c r="E93" i="4"/>
  <c r="G84" i="4"/>
  <c r="G83" i="4"/>
  <c r="F84" i="4"/>
  <c r="F83" i="4"/>
  <c r="E84" i="4"/>
  <c r="E83" i="4"/>
  <c r="G74" i="4"/>
  <c r="G73" i="4"/>
  <c r="F74" i="4"/>
  <c r="F73" i="4"/>
  <c r="E74" i="4"/>
  <c r="E73" i="4"/>
  <c r="G64" i="4"/>
  <c r="G63" i="4"/>
  <c r="F64" i="4"/>
  <c r="F63" i="4"/>
  <c r="E64" i="4"/>
  <c r="E63" i="4"/>
  <c r="G54" i="4"/>
  <c r="G53" i="4"/>
  <c r="F54" i="4"/>
  <c r="F53" i="4"/>
  <c r="E54" i="4"/>
  <c r="E53" i="4"/>
  <c r="G44" i="4"/>
  <c r="G43" i="4"/>
  <c r="F44" i="4"/>
  <c r="F43" i="4"/>
  <c r="E44" i="4"/>
  <c r="E43" i="4"/>
  <c r="G34" i="4"/>
  <c r="G33" i="4"/>
  <c r="F34" i="4"/>
  <c r="F33" i="4"/>
  <c r="E34" i="4"/>
  <c r="E33" i="4"/>
  <c r="G24" i="4"/>
  <c r="G23" i="4"/>
  <c r="F24" i="4"/>
  <c r="F23" i="4"/>
  <c r="E24" i="4"/>
  <c r="E23" i="4"/>
  <c r="G14" i="4"/>
  <c r="G13" i="4"/>
  <c r="G108" i="4"/>
  <c r="G107" i="4"/>
  <c r="H106" i="4"/>
  <c r="F14" i="4"/>
  <c r="F13" i="4"/>
  <c r="F108" i="4"/>
  <c r="F107" i="4"/>
  <c r="E14" i="4"/>
  <c r="E13" i="4"/>
  <c r="E108" i="4"/>
  <c r="E107" i="4"/>
  <c r="G104" i="3"/>
  <c r="G103" i="3"/>
  <c r="F104" i="3"/>
  <c r="F103" i="3"/>
  <c r="E104" i="3"/>
  <c r="E103" i="3"/>
  <c r="G94" i="3"/>
  <c r="G93" i="3"/>
  <c r="F94" i="3"/>
  <c r="F93" i="3"/>
  <c r="E94" i="3"/>
  <c r="E93" i="3"/>
  <c r="G84" i="3"/>
  <c r="G83" i="3"/>
  <c r="F84" i="3"/>
  <c r="F83" i="3"/>
  <c r="E84" i="3"/>
  <c r="E83" i="3"/>
  <c r="G74" i="3"/>
  <c r="G73" i="3"/>
  <c r="F74" i="3"/>
  <c r="F73" i="3"/>
  <c r="E74" i="3"/>
  <c r="E73" i="3"/>
  <c r="G64" i="3"/>
  <c r="G63" i="3"/>
  <c r="F64" i="3"/>
  <c r="F63" i="3"/>
  <c r="E64" i="3"/>
  <c r="E63" i="3"/>
  <c r="G54" i="3"/>
  <c r="G53" i="3"/>
  <c r="F54" i="3"/>
  <c r="F53" i="3"/>
  <c r="E54" i="3"/>
  <c r="E53" i="3"/>
  <c r="G44" i="3"/>
  <c r="G43" i="3"/>
  <c r="F44" i="3"/>
  <c r="F43" i="3"/>
  <c r="E44" i="3"/>
  <c r="E43" i="3"/>
  <c r="G34" i="3"/>
  <c r="G33" i="3"/>
  <c r="F34" i="3"/>
  <c r="F33" i="3"/>
  <c r="E34" i="3"/>
  <c r="E33" i="3"/>
  <c r="G24" i="3"/>
  <c r="G23" i="3"/>
  <c r="F24" i="3"/>
  <c r="F23" i="3"/>
  <c r="E24" i="3"/>
  <c r="E23" i="3"/>
  <c r="G14" i="3"/>
  <c r="G13" i="3"/>
  <c r="G108" i="3"/>
  <c r="G107" i="3"/>
  <c r="H106" i="3"/>
  <c r="F14" i="3"/>
  <c r="F13" i="3"/>
  <c r="F108" i="3"/>
  <c r="F107" i="3"/>
  <c r="E14" i="3"/>
  <c r="E13" i="3"/>
  <c r="E108" i="3"/>
  <c r="E107" i="3"/>
  <c r="G108" i="1"/>
  <c r="H106" i="1"/>
  <c r="H101" i="2"/>
  <c r="G104" i="2"/>
  <c r="G103" i="2"/>
  <c r="F104" i="2"/>
  <c r="F103" i="2"/>
  <c r="E104" i="2"/>
  <c r="E103" i="2"/>
  <c r="H91" i="2"/>
  <c r="G94" i="2"/>
  <c r="G93" i="2"/>
  <c r="F94" i="2"/>
  <c r="F93" i="2"/>
  <c r="E94" i="2"/>
  <c r="E93" i="2"/>
  <c r="H81" i="2"/>
  <c r="G84" i="2"/>
  <c r="G83" i="2"/>
  <c r="F84" i="2"/>
  <c r="F83" i="2"/>
  <c r="E84" i="2"/>
  <c r="E83" i="2"/>
  <c r="H71" i="2"/>
  <c r="G74" i="2"/>
  <c r="G73" i="2"/>
  <c r="F74" i="2"/>
  <c r="F73" i="2"/>
  <c r="E74" i="2"/>
  <c r="E73" i="2"/>
  <c r="H61" i="2"/>
  <c r="G64" i="2"/>
  <c r="G63" i="2"/>
  <c r="F64" i="2"/>
  <c r="F63" i="2"/>
  <c r="E64" i="2"/>
  <c r="E63" i="2"/>
  <c r="H51" i="2"/>
  <c r="G54" i="2"/>
  <c r="G53" i="2"/>
  <c r="F54" i="2"/>
  <c r="F53" i="2"/>
  <c r="E54" i="2"/>
  <c r="E53" i="2"/>
  <c r="H41" i="2"/>
  <c r="G44" i="2"/>
  <c r="G43" i="2"/>
  <c r="F44" i="2"/>
  <c r="F43" i="2"/>
  <c r="E44" i="2"/>
  <c r="E43" i="2"/>
  <c r="H31" i="2"/>
  <c r="G34" i="2"/>
  <c r="G33" i="2"/>
  <c r="F34" i="2"/>
  <c r="F33" i="2"/>
  <c r="E34" i="2"/>
  <c r="E33" i="2"/>
  <c r="H21" i="2"/>
  <c r="G24" i="2"/>
  <c r="G23" i="2"/>
  <c r="F24" i="2"/>
  <c r="F23" i="2"/>
  <c r="E24" i="2"/>
  <c r="E23" i="2"/>
  <c r="H11" i="2"/>
  <c r="G14" i="2"/>
  <c r="G13" i="2"/>
  <c r="G108" i="2"/>
  <c r="G107" i="2"/>
  <c r="H106" i="2"/>
  <c r="H107" i="2" s="1"/>
  <c r="F14" i="2"/>
  <c r="F13" i="2"/>
  <c r="F108" i="2"/>
  <c r="F107" i="2"/>
  <c r="E14" i="2"/>
  <c r="E13" i="2"/>
  <c r="E108" i="2"/>
  <c r="E107" i="2"/>
  <c r="E110" i="2" l="1"/>
  <c r="E109" i="2"/>
  <c r="F110" i="2"/>
  <c r="F109" i="2"/>
  <c r="G110" i="2"/>
  <c r="H110" i="2" s="1"/>
  <c r="G109" i="2"/>
  <c r="H14" i="2"/>
  <c r="H24" i="2"/>
  <c r="H34" i="2"/>
  <c r="H44" i="2"/>
  <c r="H54" i="2"/>
  <c r="H64" i="2"/>
  <c r="H74" i="2"/>
  <c r="H84" i="2"/>
  <c r="H94" i="2"/>
  <c r="H104" i="2"/>
  <c r="E110" i="3"/>
  <c r="E109" i="3"/>
  <c r="F110" i="3"/>
  <c r="F109" i="3"/>
  <c r="H107" i="3"/>
  <c r="G110" i="3"/>
  <c r="H110" i="3" s="1"/>
  <c r="G109" i="3"/>
  <c r="H14" i="3"/>
  <c r="H24" i="3"/>
  <c r="H34" i="3"/>
  <c r="H44" i="3"/>
  <c r="H54" i="3"/>
  <c r="H64" i="3"/>
  <c r="H74" i="3"/>
  <c r="H84" i="3"/>
  <c r="H94" i="3"/>
  <c r="H104" i="3"/>
  <c r="E110" i="4"/>
  <c r="E109" i="4"/>
  <c r="F110" i="4"/>
  <c r="F109" i="4"/>
  <c r="H107" i="4"/>
  <c r="G110" i="4"/>
  <c r="H110" i="4" s="1"/>
  <c r="G109" i="4"/>
  <c r="H14" i="4"/>
  <c r="H24" i="4"/>
  <c r="H34" i="4"/>
  <c r="H44" i="4"/>
  <c r="H54" i="4"/>
  <c r="H64" i="4"/>
  <c r="H74" i="4"/>
  <c r="H84" i="4"/>
  <c r="H94" i="4"/>
  <c r="H104" i="4"/>
  <c r="E110" i="5"/>
  <c r="E109" i="5"/>
  <c r="F110" i="5"/>
  <c r="F109" i="5"/>
  <c r="H107" i="5"/>
  <c r="G110" i="5"/>
  <c r="H110" i="5" s="1"/>
  <c r="G109" i="5"/>
  <c r="H14" i="5"/>
  <c r="H24" i="5"/>
  <c r="H34" i="5"/>
  <c r="H44" i="5"/>
  <c r="H54" i="5"/>
  <c r="H64" i="5"/>
  <c r="H74" i="5"/>
  <c r="H84" i="5"/>
  <c r="H94" i="5"/>
  <c r="H104" i="5"/>
  <c r="E110" i="6"/>
  <c r="E109" i="6"/>
  <c r="F110" i="6"/>
  <c r="F109" i="6"/>
  <c r="H107" i="6"/>
  <c r="G110" i="6"/>
  <c r="H110" i="6" s="1"/>
  <c r="G109" i="6"/>
  <c r="H14" i="6"/>
  <c r="H24" i="6"/>
  <c r="H34" i="6"/>
  <c r="H44" i="6"/>
  <c r="H54" i="6"/>
  <c r="H64" i="6"/>
  <c r="H74" i="6"/>
  <c r="H84" i="6"/>
  <c r="H94" i="6"/>
  <c r="H104" i="6"/>
  <c r="E110" i="7"/>
  <c r="E109" i="7"/>
  <c r="F110" i="7"/>
  <c r="F109" i="7"/>
  <c r="H107" i="7"/>
  <c r="G110" i="7"/>
  <c r="H110" i="7" s="1"/>
  <c r="G109" i="7"/>
  <c r="H14" i="7"/>
  <c r="H24" i="7"/>
  <c r="H34" i="7"/>
  <c r="H44" i="7"/>
  <c r="H54" i="7"/>
  <c r="H64" i="7"/>
  <c r="H74" i="7"/>
  <c r="H84" i="7"/>
  <c r="H94" i="7"/>
  <c r="H104" i="7"/>
  <c r="E110" i="8"/>
  <c r="E109" i="8"/>
  <c r="F110" i="8"/>
  <c r="F109" i="8"/>
  <c r="H107" i="8"/>
  <c r="G110" i="8"/>
  <c r="H110" i="8" s="1"/>
  <c r="G109" i="8"/>
  <c r="H14" i="8"/>
  <c r="H24" i="8"/>
  <c r="H34" i="8"/>
  <c r="H44" i="8"/>
  <c r="H54" i="8"/>
  <c r="H64" i="8"/>
  <c r="H74" i="8"/>
  <c r="H84" i="8"/>
  <c r="H94" i="8"/>
  <c r="H104" i="8"/>
  <c r="E110" i="9"/>
  <c r="E109" i="9"/>
  <c r="F110" i="9"/>
  <c r="F109" i="9"/>
  <c r="H107" i="9"/>
  <c r="G110" i="9"/>
  <c r="H110" i="9" s="1"/>
  <c r="G109" i="9"/>
  <c r="H14" i="9"/>
  <c r="H24" i="9"/>
  <c r="H34" i="9"/>
  <c r="H44" i="9"/>
  <c r="H54" i="9"/>
  <c r="H64" i="9"/>
  <c r="H74" i="9"/>
  <c r="H84" i="9"/>
  <c r="H94" i="9"/>
  <c r="H104" i="9"/>
  <c r="E110" i="10"/>
  <c r="E109" i="10"/>
  <c r="F110" i="10"/>
  <c r="F109" i="10"/>
  <c r="H107" i="10"/>
  <c r="G110" i="10"/>
  <c r="H110" i="10" s="1"/>
  <c r="G109" i="10"/>
  <c r="H14" i="10"/>
  <c r="H24" i="10"/>
  <c r="H34" i="10"/>
  <c r="H44" i="10"/>
  <c r="H54" i="10"/>
  <c r="H64" i="10"/>
  <c r="H74" i="10"/>
  <c r="H84" i="10"/>
  <c r="H94" i="10"/>
  <c r="H104" i="10"/>
  <c r="E110" i="11"/>
  <c r="E109" i="11"/>
  <c r="F110" i="11"/>
  <c r="F109" i="11"/>
  <c r="H107" i="11"/>
  <c r="G110" i="11"/>
  <c r="H110" i="11" s="1"/>
  <c r="G109" i="11"/>
  <c r="H14" i="11"/>
  <c r="H24" i="11"/>
  <c r="H34" i="11"/>
  <c r="H44" i="11"/>
  <c r="H54" i="11"/>
  <c r="H64" i="11"/>
  <c r="H74" i="11"/>
  <c r="H84" i="11"/>
  <c r="H94" i="11"/>
  <c r="H104" i="11"/>
  <c r="E110" i="12"/>
  <c r="E109" i="12"/>
  <c r="F110" i="12"/>
  <c r="F109" i="12"/>
  <c r="H107" i="12"/>
  <c r="G110" i="12"/>
  <c r="H110" i="12" s="1"/>
  <c r="G109" i="12"/>
  <c r="H14" i="12"/>
  <c r="H24" i="12"/>
  <c r="H34" i="12"/>
  <c r="H44" i="12"/>
  <c r="H54" i="12"/>
  <c r="H64" i="12"/>
  <c r="H74" i="12"/>
  <c r="H84" i="12"/>
  <c r="H94" i="12"/>
  <c r="H104" i="12"/>
  <c r="E110" i="13"/>
  <c r="E109" i="13"/>
  <c r="F110" i="13"/>
  <c r="F109" i="13"/>
  <c r="H107" i="13"/>
  <c r="G110" i="13"/>
  <c r="H110" i="13" s="1"/>
  <c r="G109" i="13"/>
  <c r="H14" i="13"/>
  <c r="H24" i="13"/>
  <c r="H34" i="13"/>
  <c r="H44" i="13"/>
  <c r="H54" i="13"/>
  <c r="H64" i="13"/>
  <c r="H74" i="13"/>
  <c r="H84" i="13"/>
  <c r="H94" i="13"/>
  <c r="H104" i="13"/>
  <c r="E110" i="14"/>
  <c r="E109" i="14"/>
  <c r="F110" i="14"/>
  <c r="F109" i="14"/>
  <c r="H107" i="14"/>
  <c r="G110" i="14"/>
  <c r="H110" i="14" s="1"/>
  <c r="G109" i="14"/>
  <c r="H14" i="14"/>
  <c r="H24" i="14"/>
  <c r="H34" i="14"/>
  <c r="H44" i="14"/>
  <c r="H54" i="14"/>
  <c r="H64" i="14"/>
  <c r="H74" i="14"/>
  <c r="H84" i="14"/>
  <c r="H94" i="14"/>
  <c r="H104" i="14"/>
  <c r="E110" i="15"/>
  <c r="E109" i="15"/>
  <c r="F110" i="15"/>
  <c r="F109" i="15"/>
  <c r="H107" i="15"/>
  <c r="G110" i="15"/>
  <c r="H110" i="15" s="1"/>
  <c r="G109" i="15"/>
  <c r="H14" i="15"/>
  <c r="H24" i="15"/>
  <c r="H34" i="15"/>
  <c r="H44" i="15"/>
  <c r="H54" i="15"/>
  <c r="H64" i="15"/>
  <c r="H74" i="15"/>
  <c r="H84" i="15"/>
  <c r="H94" i="15"/>
  <c r="H104" i="15"/>
  <c r="E110" i="16"/>
  <c r="E109" i="16"/>
  <c r="F110" i="16"/>
  <c r="F109" i="16"/>
  <c r="H107" i="16"/>
  <c r="G110" i="16"/>
  <c r="H110" i="16" s="1"/>
  <c r="G109" i="16"/>
  <c r="H14" i="16"/>
  <c r="H24" i="16"/>
  <c r="H34" i="16"/>
  <c r="H44" i="16"/>
  <c r="H54" i="16"/>
  <c r="H64" i="16"/>
  <c r="H74" i="16"/>
  <c r="H84" i="16"/>
  <c r="H94" i="16"/>
  <c r="H104" i="16"/>
  <c r="E110" i="17"/>
  <c r="E109" i="17"/>
  <c r="F110" i="17"/>
  <c r="F109" i="17"/>
  <c r="H107" i="17"/>
  <c r="G110" i="17"/>
  <c r="H110" i="17" s="1"/>
  <c r="G109" i="17"/>
  <c r="H14" i="17"/>
  <c r="H24" i="17"/>
  <c r="H34" i="17"/>
  <c r="H44" i="17"/>
  <c r="H54" i="17"/>
  <c r="H64" i="17"/>
  <c r="H74" i="17"/>
  <c r="H84" i="17"/>
  <c r="H94" i="17"/>
  <c r="H104" i="17"/>
  <c r="E110" i="18"/>
  <c r="E109" i="18"/>
  <c r="F110" i="18"/>
  <c r="F109" i="18"/>
  <c r="H107" i="18"/>
  <c r="G110" i="18"/>
  <c r="H110" i="18" s="1"/>
  <c r="G109" i="18"/>
  <c r="H14" i="18"/>
  <c r="H24" i="18"/>
  <c r="H34" i="18"/>
  <c r="H44" i="18"/>
  <c r="H54" i="18"/>
  <c r="H64" i="18"/>
  <c r="H74" i="18"/>
  <c r="H84" i="18"/>
  <c r="H94" i="18"/>
  <c r="H104" i="18"/>
</calcChain>
</file>

<file path=xl/sharedStrings.xml><?xml version="1.0" encoding="utf-8"?>
<sst xmlns="http://schemas.openxmlformats.org/spreadsheetml/2006/main" count="3816" uniqueCount="148">
  <si>
    <t>RANKING-APP</t>
  </si>
  <si>
    <t>vecka 25</t>
  </si>
  <si>
    <t>Vecka 25</t>
  </si>
  <si>
    <t>mot historik</t>
  </si>
  <si>
    <t>Gavel 1</t>
  </si>
  <si>
    <t>Vara</t>
  </si>
  <si>
    <t>Ant</t>
  </si>
  <si>
    <t>Förs</t>
  </si>
  <si>
    <t>BV</t>
  </si>
  <si>
    <t>B%</t>
  </si>
  <si>
    <t>idx antal</t>
  </si>
  <si>
    <t>idx förs</t>
  </si>
  <si>
    <t>idx BV</t>
  </si>
  <si>
    <t>101625435</t>
  </si>
  <si>
    <t>g11</t>
  </si>
  <si>
    <t>A+ TVÄTTMEDELCHERRYBLOSSO</t>
  </si>
  <si>
    <t>g12</t>
  </si>
  <si>
    <t>g13</t>
  </si>
  <si>
    <t>g14</t>
  </si>
  <si>
    <t>total</t>
  </si>
  <si>
    <t>diff föreg V</t>
  </si>
  <si>
    <t xml:space="preserve">index </t>
  </si>
  <si>
    <t>index diff %</t>
  </si>
  <si>
    <t>Prestations Index</t>
  </si>
  <si>
    <t>Gavel 2</t>
  </si>
  <si>
    <t>KOMBI: 101595376 101595377 101595375 101547828</t>
  </si>
  <si>
    <t>g21</t>
  </si>
  <si>
    <t>CIF spray 750ml</t>
  </si>
  <si>
    <t>g22</t>
  </si>
  <si>
    <t>g23</t>
  </si>
  <si>
    <t>g24</t>
  </si>
  <si>
    <t>Gavel 3</t>
  </si>
  <si>
    <t>101648059</t>
  </si>
  <si>
    <t>g31</t>
  </si>
  <si>
    <t>PK SOF SKÖLJ OUTDFR1300ML</t>
  </si>
  <si>
    <t>g32</t>
  </si>
  <si>
    <t>g33</t>
  </si>
  <si>
    <t>g34</t>
  </si>
  <si>
    <t>Gavel 4</t>
  </si>
  <si>
    <t>KOMBI: 101648050 101625436</t>
  </si>
  <si>
    <t>g41</t>
  </si>
  <si>
    <t>Softlan Appear &amp; Van</t>
  </si>
  <si>
    <t>g42</t>
  </si>
  <si>
    <t>g43</t>
  </si>
  <si>
    <t>g44</t>
  </si>
  <si>
    <t>Gavel 5</t>
  </si>
  <si>
    <t>101440122</t>
  </si>
  <si>
    <t>g51</t>
  </si>
  <si>
    <t>OMO OMO 2,6 LITER FLYTANDE TVÄTT 2,6</t>
  </si>
  <si>
    <t>g52</t>
  </si>
  <si>
    <t>g53</t>
  </si>
  <si>
    <t>g54</t>
  </si>
  <si>
    <t>Gavel 6</t>
  </si>
  <si>
    <t>KOMBI: 101692806 101692807</t>
  </si>
  <si>
    <t>g61</t>
  </si>
  <si>
    <t>Comfort 1,56L</t>
  </si>
  <si>
    <t>g62</t>
  </si>
  <si>
    <t>g63</t>
  </si>
  <si>
    <t>g64</t>
  </si>
  <si>
    <t>Gavel 7</t>
  </si>
  <si>
    <t>KOMBI: 101648242 101648245</t>
  </si>
  <si>
    <t>g71</t>
  </si>
  <si>
    <t>CIF Cream 750ML</t>
  </si>
  <si>
    <t>g72</t>
  </si>
  <si>
    <t>g73</t>
  </si>
  <si>
    <t>g74</t>
  </si>
  <si>
    <t>Gavel 8</t>
  </si>
  <si>
    <t>101737137</t>
  </si>
  <si>
    <t>g81</t>
  </si>
  <si>
    <t>CIF DISKMEDEL</t>
  </si>
  <si>
    <t>g82</t>
  </si>
  <si>
    <t>g83</t>
  </si>
  <si>
    <t>g84</t>
  </si>
  <si>
    <t>Gavel 9</t>
  </si>
  <si>
    <t>101768879</t>
  </si>
  <si>
    <t>g91</t>
  </si>
  <si>
    <t>HANDDISKMEDEL</t>
  </si>
  <si>
    <t>g92</t>
  </si>
  <si>
    <t>g93</t>
  </si>
  <si>
    <t>g94</t>
  </si>
  <si>
    <t>Gavel 10</t>
  </si>
  <si>
    <t>KOMBI: 101767745 101887812 101765859</t>
  </si>
  <si>
    <t>g101</t>
  </si>
  <si>
    <t>Zalo Lav &amp; Cherry</t>
  </si>
  <si>
    <t>g102</t>
  </si>
  <si>
    <t>g103</t>
  </si>
  <si>
    <t>g104</t>
  </si>
  <si>
    <t>totalt</t>
  </si>
  <si>
    <t>diff %</t>
  </si>
  <si>
    <t>KVITTON</t>
  </si>
  <si>
    <t xml:space="preserve">Diff </t>
  </si>
  <si>
    <t>Diff %</t>
  </si>
  <si>
    <t>vecka 26</t>
  </si>
  <si>
    <t>Vecka 26</t>
  </si>
  <si>
    <t>vecka 27</t>
  </si>
  <si>
    <t>Vecka 27</t>
  </si>
  <si>
    <t>KOMBI: 101896068 101896037 101625435</t>
  </si>
  <si>
    <t>A+ Cherry blossom &amp; Viking vivid&amp;sens 2700ml</t>
  </si>
  <si>
    <t>vecka 28</t>
  </si>
  <si>
    <t>Vecka 28</t>
  </si>
  <si>
    <t>KOMBI: 101896068 101896037</t>
  </si>
  <si>
    <t>Viking vivid&amp;sens 2700ml</t>
  </si>
  <si>
    <t>vecka 29</t>
  </si>
  <si>
    <t>Vecka 29</t>
  </si>
  <si>
    <t>KOMBI: 101712096 101625435</t>
  </si>
  <si>
    <t>A+ Cherry blossom</t>
  </si>
  <si>
    <t>vecka 30</t>
  </si>
  <si>
    <t>Vecka 30</t>
  </si>
  <si>
    <t>vecka 31</t>
  </si>
  <si>
    <t>Vecka 31</t>
  </si>
  <si>
    <t>vecka 32</t>
  </si>
  <si>
    <t>Vecka 32</t>
  </si>
  <si>
    <t>vecka 33</t>
  </si>
  <si>
    <t>Vecka 33</t>
  </si>
  <si>
    <t>KOMBI: 101548872 101548873</t>
  </si>
  <si>
    <t>Duck stick 36ML</t>
  </si>
  <si>
    <t>vecka 34</t>
  </si>
  <si>
    <t>Vecka 34</t>
  </si>
  <si>
    <t>vecka 35</t>
  </si>
  <si>
    <t>Vecka 35</t>
  </si>
  <si>
    <t>vecka 36</t>
  </si>
  <si>
    <t>Vecka 36</t>
  </si>
  <si>
    <t>vecka 37</t>
  </si>
  <si>
    <t>Vecka 37</t>
  </si>
  <si>
    <t>101309648</t>
  </si>
  <si>
    <t>NEU TVÄTTM FL 1,95L COLOR</t>
  </si>
  <si>
    <t>101907622</t>
  </si>
  <si>
    <t>NOORA SPRING FRESHNESS 2L</t>
  </si>
  <si>
    <t>vecka 38</t>
  </si>
  <si>
    <t>Vecka 38</t>
  </si>
  <si>
    <t>vecka 39</t>
  </si>
  <si>
    <t>Vecka 39</t>
  </si>
  <si>
    <t>101712096</t>
  </si>
  <si>
    <t>A+ TVÄTTM CHERRY BLOSSOM</t>
  </si>
  <si>
    <t>CIF</t>
  </si>
  <si>
    <t>KOMBI: 101648242 101648245 101462914 101838246</t>
  </si>
  <si>
    <t>CIF 750ML &amp; Spolglans 800ML</t>
  </si>
  <si>
    <t>KOMBI: 101767745 101887812</t>
  </si>
  <si>
    <t>vecka 40</t>
  </si>
  <si>
    <t>Vecka 40</t>
  </si>
  <si>
    <t>KOMBI: 101462914 101838246</t>
  </si>
  <si>
    <t>Spolglans 800ML</t>
  </si>
  <si>
    <t>vecka 41</t>
  </si>
  <si>
    <t>Vecka 41</t>
  </si>
  <si>
    <t>vecka 42</t>
  </si>
  <si>
    <t>Vecka 42</t>
  </si>
  <si>
    <t>KOMBI: 101595376 101595377 101595375 101547828 101896068 101896037</t>
  </si>
  <si>
    <t>CIF &amp; Viking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</si>
</sst>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>
    <font>
      <sz val="11"/>
      <color theme="1"/>
      <name val="Calibri"/>
      <family val="2"/>
      <scheme val="minor"/>
    </font>
    <font>
      <sz val="8"/>
      <color rgb="FFBFBFBF"/>
      <name val="Calibri"/>
    </font>
    <font>
      <b/>
      <sz val="11"/>
      <name val="Calibri"/>
    </font>
    <font>
      <b/>
      <sz val="14"/>
      <name val="Calibri"/>
    </font>
    <font>
      <sz val="11"/>
      <name val="Calibri"/>
    </font>
    <font>
      <sz val="8"/>
      <color rgb="FF8C8C8C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/>
    <xf numFmtId="0" fontId="5" fillId="0" borderId="0" xfId="0" applyFont="1"/>
    <xf numFmtId="3" fontId="4" fillId="0" borderId="0" xfId="0" applyNumberFormat="1" applyFont="1"/>
    <xf numFmtId="10" fontId="4" fillId="0" borderId="0" xfId="0" applyNumberFormat="1" applyFont="1"/>
    <xf numFmtId="0" fontId="2" fillId="0" borderId="2" xfId="0" applyFont="1" applyBorder="1"/>
    <xf numFmtId="0" fontId="0" fillId="0" borderId="2" xfId="0" applyBorder="1"/>
    <xf numFmtId="3" fontId="2" fillId="0" borderId="2" xfId="0" applyNumberFormat="1" applyFont="1" applyBorder="1"/>
    <xf numFmtId="10" fontId="2" fillId="0" borderId="2" xfId="0" applyNumberFormat="1" applyFont="1" applyBorder="1"/>
    <xf numFmtId="164" fontId="4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10" fontId="2" fillId="0" borderId="0" xfId="0" applyNumberFormat="1" applyFont="1"/>
    <xf numFmtId="0" fontId="4" fillId="0" borderId="2" xfId="0" applyFont="1" applyBorder="1"/>
    <xf numFmtId="1" fontId="4" fillId="0" borderId="0" xfId="0" applyNumberFormat="1" applyFont="1"/>
    <xf numFmtId="10" fontId="4" fillId="0" borderId="2" xfId="0" applyNumberFormat="1" applyFont="1" applyBorder="1"/>
  </cellXfs>
  <cellStyles count="1">
    <cellStyle name="Normal" xfId="0" builtinId="0"/>
  </cellStyles>
  <dxfs count="396"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  <dxf>
      <font>
        <color rgb="FF00833E"/>
      </font>
    </dxf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2"/>
  <sheetViews>
    <sheetView zoomScaleNormal="100" zoomScaleSheetLayoutView="100" workbookViewId="0"/>
  </sheetViews>
  <sheetFormatPr defaultRowHeight="15"/>
  <cols>
    <col min="2" max="2" width="16" customWidth="1"/>
    <col min="4" max="4" width="26" customWidth="1"/>
    <col min="5" max="5" width="10" customWidth="1"/>
    <col min="6" max="7" width="12" customWidth="1"/>
    <col min="8" max="8" width="10" customWidth="1"/>
    <col min="9" max="11" width="12" customWidth="1"/>
  </cols>
  <sheetData>
    <row r="1" spans="1:11">
      <c r="A1" s="1" t="s">
        <v>0</v>
      </c>
    </row>
    <row r="3" spans="1:11">
      <c r="C3" s="2" t="s">
        <v>1</v>
      </c>
    </row>
    <row r="4" spans="1:11">
      <c r="C4" s="3" t="s">
        <v>2</v>
      </c>
      <c r="I4" s="4">
        <v>25</v>
      </c>
      <c r="J4" s="5" t="s">
        <v>3</v>
      </c>
    </row>
    <row r="5" spans="1:11">
      <c r="A5" s="1">
        <v>1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</row>
    <row r="6" spans="1:11">
      <c r="B6" s="6" t="s">
        <v>13</v>
      </c>
      <c r="C6" s="2" t="s">
        <v>14</v>
      </c>
      <c r="D6" s="5" t="s">
        <v>15</v>
      </c>
      <c r="E6" s="7">
        <v>170</v>
      </c>
      <c r="F6" s="7">
        <v>12229.6</v>
      </c>
      <c r="G6" s="7">
        <v>3049.6</v>
      </c>
      <c r="H6" s="8">
        <f>IFERROR(G6/F6,"")</f>
        <v>0.24936220317917182</v>
      </c>
    </row>
    <row r="7" spans="1:11">
      <c r="C7" s="2" t="s">
        <v>16</v>
      </c>
    </row>
    <row r="8" spans="1:11">
      <c r="C8" s="2" t="s">
        <v>17</v>
      </c>
    </row>
    <row r="9" spans="1:11">
      <c r="C9" s="2" t="s">
        <v>18</v>
      </c>
    </row>
    <row r="10" spans="1:11">
      <c r="C10" s="9" t="s">
        <v>19</v>
      </c>
      <c r="D10" s="10"/>
      <c r="E10" s="11">
        <f>SUM(E6:E9)</f>
        <v>170</v>
      </c>
      <c r="F10" s="11">
        <f>SUM(F6:F9)</f>
        <v>12229.6</v>
      </c>
      <c r="G10" s="11">
        <f>SUM(G6:G9)</f>
        <v>3049.6</v>
      </c>
      <c r="H10" s="12">
        <f>IFERROR(G10/F10,"")</f>
        <v>0.24936220317917182</v>
      </c>
    </row>
    <row r="11" spans="1:11">
      <c r="B11" s="5" t="s">
        <v>20</v>
      </c>
    </row>
    <row r="12" spans="1:11">
      <c r="B12" s="5" t="s">
        <v>21</v>
      </c>
      <c r="E12" s="13">
        <f>E10/$B$112</f>
        <v>9.223090277777778E-3</v>
      </c>
      <c r="F12" s="13">
        <f>F10/$B$112</f>
        <v>0.66349826388888888</v>
      </c>
      <c r="G12" s="13">
        <f>G10/$B$112</f>
        <v>0.16545138888888888</v>
      </c>
    </row>
    <row r="13" spans="1:11">
      <c r="B13" s="5" t="s">
        <v>22</v>
      </c>
    </row>
    <row r="14" spans="1:11">
      <c r="B14" s="5" t="s">
        <v>23</v>
      </c>
      <c r="H14" s="14">
        <f>IFERROR((G14*0.6)+(F14*0.4),"")</f>
        <v>0</v>
      </c>
    </row>
    <row r="15" spans="1:11">
      <c r="A15" s="1">
        <v>2</v>
      </c>
      <c r="C15" s="2" t="s">
        <v>24</v>
      </c>
      <c r="D15" s="2" t="s">
        <v>5</v>
      </c>
      <c r="E15" s="2" t="s">
        <v>6</v>
      </c>
      <c r="F15" s="2" t="s">
        <v>7</v>
      </c>
      <c r="G15" s="2" t="s">
        <v>8</v>
      </c>
      <c r="H15" s="2" t="s">
        <v>9</v>
      </c>
      <c r="I15" s="2" t="s">
        <v>10</v>
      </c>
      <c r="J15" s="2" t="s">
        <v>11</v>
      </c>
      <c r="K15" s="2" t="s">
        <v>12</v>
      </c>
    </row>
    <row r="16" spans="1:11">
      <c r="B16" s="6" t="s">
        <v>25</v>
      </c>
      <c r="C16" s="2" t="s">
        <v>26</v>
      </c>
      <c r="D16" s="5" t="s">
        <v>27</v>
      </c>
      <c r="E16" s="7">
        <v>149</v>
      </c>
      <c r="F16" s="7">
        <v>3131.22</v>
      </c>
      <c r="G16" s="7">
        <v>716.76</v>
      </c>
      <c r="H16" s="8">
        <f>IFERROR(G16/F16,"")</f>
        <v>0.22890758234809436</v>
      </c>
    </row>
    <row r="17" spans="1:11">
      <c r="C17" s="2" t="s">
        <v>28</v>
      </c>
    </row>
    <row r="18" spans="1:11">
      <c r="C18" s="2" t="s">
        <v>29</v>
      </c>
    </row>
    <row r="19" spans="1:11">
      <c r="C19" s="2" t="s">
        <v>30</v>
      </c>
    </row>
    <row r="20" spans="1:11">
      <c r="C20" s="9" t="s">
        <v>19</v>
      </c>
      <c r="D20" s="10"/>
      <c r="E20" s="11">
        <f>SUM(E16:E19)</f>
        <v>149</v>
      </c>
      <c r="F20" s="11">
        <f>SUM(F16:F19)</f>
        <v>3131.22</v>
      </c>
      <c r="G20" s="11">
        <f>SUM(G16:G19)</f>
        <v>716.76</v>
      </c>
      <c r="H20" s="12">
        <f>IFERROR(G20/F20,"")</f>
        <v>0.22890758234809436</v>
      </c>
    </row>
    <row r="21" spans="1:11">
      <c r="B21" s="5" t="s">
        <v>20</v>
      </c>
    </row>
    <row r="22" spans="1:11">
      <c r="B22" s="5" t="s">
        <v>21</v>
      </c>
      <c r="E22" s="13">
        <f>E20/$B$112</f>
        <v>8.0837673611111119E-3</v>
      </c>
      <c r="F22" s="13">
        <f>F20/$B$112</f>
        <v>0.16987955729166665</v>
      </c>
      <c r="G22" s="13">
        <f>G20/$B$112</f>
        <v>3.888671875E-2</v>
      </c>
    </row>
    <row r="23" spans="1:11">
      <c r="B23" s="5" t="s">
        <v>22</v>
      </c>
    </row>
    <row r="24" spans="1:11">
      <c r="B24" s="5" t="s">
        <v>23</v>
      </c>
      <c r="H24" s="14">
        <f>IFERROR((G24*0.6)+(F24*0.4),"")</f>
        <v>0</v>
      </c>
    </row>
    <row r="25" spans="1:11">
      <c r="A25" s="1">
        <v>3</v>
      </c>
      <c r="C25" s="2" t="s">
        <v>31</v>
      </c>
      <c r="D25" s="2" t="s">
        <v>5</v>
      </c>
      <c r="E25" s="2" t="s">
        <v>6</v>
      </c>
      <c r="F25" s="2" t="s">
        <v>7</v>
      </c>
      <c r="G25" s="2" t="s">
        <v>8</v>
      </c>
      <c r="H25" s="2" t="s">
        <v>9</v>
      </c>
      <c r="I25" s="2" t="s">
        <v>10</v>
      </c>
      <c r="J25" s="2" t="s">
        <v>11</v>
      </c>
      <c r="K25" s="2" t="s">
        <v>12</v>
      </c>
    </row>
    <row r="26" spans="1:11">
      <c r="B26" s="6" t="s">
        <v>32</v>
      </c>
      <c r="C26" s="2" t="s">
        <v>33</v>
      </c>
      <c r="D26" s="5" t="s">
        <v>34</v>
      </c>
      <c r="E26" s="7">
        <v>689</v>
      </c>
      <c r="F26" s="7">
        <v>16279.16</v>
      </c>
      <c r="G26" s="7">
        <v>3572.24</v>
      </c>
      <c r="H26" s="8">
        <f>IFERROR(G26/F26,"")</f>
        <v>0.21943638369547322</v>
      </c>
    </row>
    <row r="27" spans="1:11">
      <c r="C27" s="2" t="s">
        <v>35</v>
      </c>
    </row>
    <row r="28" spans="1:11">
      <c r="C28" s="2" t="s">
        <v>36</v>
      </c>
    </row>
    <row r="29" spans="1:11">
      <c r="C29" s="2" t="s">
        <v>37</v>
      </c>
    </row>
    <row r="30" spans="1:11">
      <c r="C30" s="9" t="s">
        <v>19</v>
      </c>
      <c r="D30" s="10"/>
      <c r="E30" s="11">
        <f>SUM(E26:E29)</f>
        <v>689</v>
      </c>
      <c r="F30" s="11">
        <f>SUM(F26:F29)</f>
        <v>16279.16</v>
      </c>
      <c r="G30" s="11">
        <f>SUM(G26:G29)</f>
        <v>3572.24</v>
      </c>
      <c r="H30" s="12">
        <f>IFERROR(G30/F30,"")</f>
        <v>0.21943638369547322</v>
      </c>
    </row>
    <row r="31" spans="1:11">
      <c r="B31" s="5" t="s">
        <v>20</v>
      </c>
    </row>
    <row r="32" spans="1:11">
      <c r="B32" s="5" t="s">
        <v>21</v>
      </c>
      <c r="E32" s="13">
        <f>E30/$B$112</f>
        <v>3.7380642361111112E-2</v>
      </c>
      <c r="F32" s="13">
        <f>F30/$B$112</f>
        <v>0.88320095486111105</v>
      </c>
      <c r="G32" s="13">
        <f>G30/$B$112</f>
        <v>0.19380642361111111</v>
      </c>
    </row>
    <row r="33" spans="1:11">
      <c r="B33" s="5" t="s">
        <v>22</v>
      </c>
    </row>
    <row r="34" spans="1:11">
      <c r="B34" s="5" t="s">
        <v>23</v>
      </c>
      <c r="H34" s="14">
        <f>IFERROR((G34*0.6)+(F34*0.4),"")</f>
        <v>0</v>
      </c>
    </row>
    <row r="35" spans="1:11">
      <c r="A35" s="1">
        <v>4</v>
      </c>
      <c r="C35" s="2" t="s">
        <v>38</v>
      </c>
      <c r="D35" s="2" t="s">
        <v>5</v>
      </c>
      <c r="E35" s="2" t="s">
        <v>6</v>
      </c>
      <c r="F35" s="2" t="s">
        <v>7</v>
      </c>
      <c r="G35" s="2" t="s">
        <v>8</v>
      </c>
      <c r="H35" s="2" t="s">
        <v>9</v>
      </c>
      <c r="I35" s="2" t="s">
        <v>10</v>
      </c>
      <c r="J35" s="2" t="s">
        <v>11</v>
      </c>
      <c r="K35" s="2" t="s">
        <v>12</v>
      </c>
    </row>
    <row r="36" spans="1:11">
      <c r="B36" s="6" t="s">
        <v>39</v>
      </c>
      <c r="C36" s="2" t="s">
        <v>40</v>
      </c>
      <c r="D36" s="5" t="s">
        <v>41</v>
      </c>
      <c r="E36" s="7">
        <v>544</v>
      </c>
      <c r="F36" s="7">
        <v>12850.56</v>
      </c>
      <c r="G36" s="7">
        <v>2883</v>
      </c>
      <c r="H36" s="8">
        <f>IFERROR(G36/F36,"")</f>
        <v>0.22434819961153446</v>
      </c>
    </row>
    <row r="37" spans="1:11">
      <c r="C37" s="2" t="s">
        <v>42</v>
      </c>
    </row>
    <row r="38" spans="1:11">
      <c r="C38" s="2" t="s">
        <v>43</v>
      </c>
    </row>
    <row r="39" spans="1:11">
      <c r="C39" s="2" t="s">
        <v>44</v>
      </c>
    </row>
    <row r="40" spans="1:11">
      <c r="C40" s="9" t="s">
        <v>19</v>
      </c>
      <c r="D40" s="10"/>
      <c r="E40" s="11">
        <f>SUM(E36:E39)</f>
        <v>544</v>
      </c>
      <c r="F40" s="11">
        <f>SUM(F36:F39)</f>
        <v>12850.56</v>
      </c>
      <c r="G40" s="11">
        <f>SUM(G36:G39)</f>
        <v>2883</v>
      </c>
      <c r="H40" s="12">
        <f>IFERROR(G40/F40,"")</f>
        <v>0.22434819961153446</v>
      </c>
    </row>
    <row r="41" spans="1:11">
      <c r="B41" s="5" t="s">
        <v>20</v>
      </c>
    </row>
    <row r="42" spans="1:11">
      <c r="B42" s="5" t="s">
        <v>21</v>
      </c>
      <c r="E42" s="13">
        <f>E40/$B$112</f>
        <v>2.9513888888888888E-2</v>
      </c>
      <c r="F42" s="13">
        <f>F40/$B$112</f>
        <v>0.69718749999999996</v>
      </c>
      <c r="G42" s="13">
        <f>G40/$B$112</f>
        <v>0.15641276041666666</v>
      </c>
    </row>
    <row r="43" spans="1:11">
      <c r="B43" s="5" t="s">
        <v>22</v>
      </c>
    </row>
    <row r="44" spans="1:11">
      <c r="B44" s="5" t="s">
        <v>23</v>
      </c>
      <c r="H44" s="14">
        <f>IFERROR((G44*0.6)+(F44*0.4),"")</f>
        <v>0</v>
      </c>
    </row>
    <row r="45" spans="1:11">
      <c r="A45" s="1">
        <v>5</v>
      </c>
      <c r="C45" s="2" t="s">
        <v>45</v>
      </c>
      <c r="D45" s="2" t="s">
        <v>5</v>
      </c>
      <c r="E45" s="2" t="s">
        <v>6</v>
      </c>
      <c r="F45" s="2" t="s">
        <v>7</v>
      </c>
      <c r="G45" s="2" t="s">
        <v>8</v>
      </c>
      <c r="H45" s="2" t="s">
        <v>9</v>
      </c>
      <c r="I45" s="2" t="s">
        <v>10</v>
      </c>
      <c r="J45" s="2" t="s">
        <v>11</v>
      </c>
      <c r="K45" s="2" t="s">
        <v>12</v>
      </c>
    </row>
    <row r="46" spans="1:11">
      <c r="B46" s="6" t="s">
        <v>46</v>
      </c>
      <c r="C46" s="2" t="s">
        <v>47</v>
      </c>
      <c r="D46" s="5" t="s">
        <v>48</v>
      </c>
      <c r="E46" s="7">
        <v>205</v>
      </c>
      <c r="F46" s="7">
        <v>14748.2</v>
      </c>
      <c r="G46" s="7">
        <v>-441.80000000000098</v>
      </c>
      <c r="H46" s="8">
        <f>IFERROR(G46/F46,"")</f>
        <v>-2.9956198044507189E-2</v>
      </c>
    </row>
    <row r="47" spans="1:11">
      <c r="C47" s="2" t="s">
        <v>49</v>
      </c>
    </row>
    <row r="48" spans="1:11">
      <c r="C48" s="2" t="s">
        <v>50</v>
      </c>
    </row>
    <row r="49" spans="1:11">
      <c r="C49" s="2" t="s">
        <v>51</v>
      </c>
    </row>
    <row r="50" spans="1:11">
      <c r="C50" s="9" t="s">
        <v>19</v>
      </c>
      <c r="D50" s="10"/>
      <c r="E50" s="11">
        <f>SUM(E46:E49)</f>
        <v>205</v>
      </c>
      <c r="F50" s="11">
        <f>SUM(F46:F49)</f>
        <v>14748.2</v>
      </c>
      <c r="G50" s="11">
        <f>SUM(G46:G49)</f>
        <v>-441.80000000000098</v>
      </c>
      <c r="H50" s="12">
        <f>IFERROR(G50/F50,"")</f>
        <v>-2.9956198044507189E-2</v>
      </c>
    </row>
    <row r="51" spans="1:11">
      <c r="B51" s="5" t="s">
        <v>20</v>
      </c>
    </row>
    <row r="52" spans="1:11">
      <c r="B52" s="5" t="s">
        <v>21</v>
      </c>
      <c r="E52" s="13">
        <f>E50/$B$112</f>
        <v>1.1121961805555556E-2</v>
      </c>
      <c r="F52" s="13">
        <f>F50/$B$112</f>
        <v>0.80014105902777777</v>
      </c>
      <c r="G52" s="13">
        <f>G50/$B$112</f>
        <v>-2.396918402777783E-2</v>
      </c>
    </row>
    <row r="53" spans="1:11">
      <c r="B53" s="5" t="s">
        <v>22</v>
      </c>
    </row>
    <row r="54" spans="1:11">
      <c r="B54" s="5" t="s">
        <v>23</v>
      </c>
      <c r="H54" s="14">
        <f>IFERROR((G54*0.6)+(F54*0.4),"")</f>
        <v>0</v>
      </c>
    </row>
    <row r="55" spans="1:11">
      <c r="A55" s="1">
        <v>6</v>
      </c>
      <c r="C55" s="2" t="s">
        <v>52</v>
      </c>
      <c r="D55" s="2" t="s">
        <v>5</v>
      </c>
      <c r="E55" s="2" t="s">
        <v>6</v>
      </c>
      <c r="F55" s="2" t="s">
        <v>7</v>
      </c>
      <c r="G55" s="2" t="s">
        <v>8</v>
      </c>
      <c r="H55" s="2" t="s">
        <v>9</v>
      </c>
      <c r="I55" s="2" t="s">
        <v>10</v>
      </c>
      <c r="J55" s="2" t="s">
        <v>11</v>
      </c>
      <c r="K55" s="2" t="s">
        <v>12</v>
      </c>
    </row>
    <row r="56" spans="1:11">
      <c r="B56" s="6" t="s">
        <v>53</v>
      </c>
      <c r="C56" s="2" t="s">
        <v>54</v>
      </c>
      <c r="D56" s="5" t="s">
        <v>55</v>
      </c>
      <c r="E56" s="7">
        <v>196</v>
      </c>
      <c r="F56" s="7">
        <v>7988.96</v>
      </c>
      <c r="G56" s="7">
        <v>1716.96</v>
      </c>
      <c r="H56" s="8">
        <f>IFERROR(G56/F56,"")</f>
        <v>0.21491658488714427</v>
      </c>
    </row>
    <row r="57" spans="1:11">
      <c r="C57" s="2" t="s">
        <v>56</v>
      </c>
    </row>
    <row r="58" spans="1:11">
      <c r="C58" s="2" t="s">
        <v>57</v>
      </c>
    </row>
    <row r="59" spans="1:11">
      <c r="C59" s="2" t="s">
        <v>58</v>
      </c>
    </row>
    <row r="60" spans="1:11">
      <c r="C60" s="9" t="s">
        <v>19</v>
      </c>
      <c r="D60" s="10"/>
      <c r="E60" s="11">
        <f>SUM(E56:E59)</f>
        <v>196</v>
      </c>
      <c r="F60" s="11">
        <f>SUM(F56:F59)</f>
        <v>7988.96</v>
      </c>
      <c r="G60" s="11">
        <f>SUM(G56:G59)</f>
        <v>1716.96</v>
      </c>
      <c r="H60" s="12">
        <f>IFERROR(G60/F60,"")</f>
        <v>0.21491658488714427</v>
      </c>
    </row>
    <row r="61" spans="1:11">
      <c r="B61" s="5" t="s">
        <v>20</v>
      </c>
    </row>
    <row r="62" spans="1:11">
      <c r="B62" s="5" t="s">
        <v>21</v>
      </c>
      <c r="E62" s="13">
        <f>E60/$B$112</f>
        <v>1.0633680555555556E-2</v>
      </c>
      <c r="F62" s="13">
        <f>F60/$B$112</f>
        <v>0.43342881944444445</v>
      </c>
      <c r="G62" s="13">
        <f>G60/$B$112</f>
        <v>9.315104166666667E-2</v>
      </c>
    </row>
    <row r="63" spans="1:11">
      <c r="B63" s="5" t="s">
        <v>22</v>
      </c>
    </row>
    <row r="64" spans="1:11">
      <c r="B64" s="5" t="s">
        <v>23</v>
      </c>
      <c r="H64" s="14">
        <f>IFERROR((G64*0.6)+(F64*0.4),"")</f>
        <v>0</v>
      </c>
    </row>
    <row r="65" spans="1:11">
      <c r="A65" s="1">
        <v>7</v>
      </c>
      <c r="C65" s="2" t="s">
        <v>59</v>
      </c>
      <c r="D65" s="2" t="s">
        <v>5</v>
      </c>
      <c r="E65" s="2" t="s">
        <v>6</v>
      </c>
      <c r="F65" s="2" t="s">
        <v>7</v>
      </c>
      <c r="G65" s="2" t="s">
        <v>8</v>
      </c>
      <c r="H65" s="2" t="s">
        <v>9</v>
      </c>
      <c r="I65" s="2" t="s">
        <v>10</v>
      </c>
      <c r="J65" s="2" t="s">
        <v>11</v>
      </c>
      <c r="K65" s="2" t="s">
        <v>12</v>
      </c>
    </row>
    <row r="66" spans="1:11">
      <c r="B66" s="6" t="s">
        <v>60</v>
      </c>
      <c r="C66" s="2" t="s">
        <v>61</v>
      </c>
      <c r="D66" s="5" t="s">
        <v>62</v>
      </c>
      <c r="E66" s="7">
        <v>23</v>
      </c>
      <c r="F66" s="7">
        <v>477.48</v>
      </c>
      <c r="G66" s="7">
        <v>110.63</v>
      </c>
      <c r="H66" s="8">
        <f>IFERROR(G66/F66,"")</f>
        <v>0.23169556840077069</v>
      </c>
    </row>
    <row r="67" spans="1:11">
      <c r="C67" s="2" t="s">
        <v>63</v>
      </c>
    </row>
    <row r="68" spans="1:11">
      <c r="C68" s="2" t="s">
        <v>64</v>
      </c>
    </row>
    <row r="69" spans="1:11">
      <c r="C69" s="2" t="s">
        <v>65</v>
      </c>
    </row>
    <row r="70" spans="1:11">
      <c r="C70" s="9" t="s">
        <v>19</v>
      </c>
      <c r="D70" s="10"/>
      <c r="E70" s="11">
        <f>SUM(E66:E69)</f>
        <v>23</v>
      </c>
      <c r="F70" s="11">
        <f>SUM(F66:F69)</f>
        <v>477.48</v>
      </c>
      <c r="G70" s="11">
        <f>SUM(G66:G69)</f>
        <v>110.63</v>
      </c>
      <c r="H70" s="12">
        <f>IFERROR(G70/F70,"")</f>
        <v>0.23169556840077069</v>
      </c>
    </row>
    <row r="71" spans="1:11">
      <c r="B71" s="5" t="s">
        <v>20</v>
      </c>
    </row>
    <row r="72" spans="1:11">
      <c r="B72" s="5" t="s">
        <v>21</v>
      </c>
      <c r="E72" s="13">
        <f>E70/$B$112</f>
        <v>1.247829861111111E-3</v>
      </c>
      <c r="F72" s="13">
        <f>F70/$B$112</f>
        <v>2.5904947916666667E-2</v>
      </c>
      <c r="G72" s="13">
        <f>G70/$B$112</f>
        <v>6.0020616319444442E-3</v>
      </c>
    </row>
    <row r="73" spans="1:11">
      <c r="B73" s="5" t="s">
        <v>22</v>
      </c>
    </row>
    <row r="74" spans="1:11">
      <c r="B74" s="5" t="s">
        <v>23</v>
      </c>
      <c r="H74" s="14">
        <f>IFERROR((G74*0.6)+(F74*0.4),"")</f>
        <v>0</v>
      </c>
    </row>
    <row r="75" spans="1:11">
      <c r="A75" s="1">
        <v>8</v>
      </c>
      <c r="C75" s="2" t="s">
        <v>66</v>
      </c>
      <c r="D75" s="2" t="s">
        <v>5</v>
      </c>
      <c r="E75" s="2" t="s">
        <v>6</v>
      </c>
      <c r="F75" s="2" t="s">
        <v>7</v>
      </c>
      <c r="G75" s="2" t="s">
        <v>8</v>
      </c>
      <c r="H75" s="2" t="s">
        <v>9</v>
      </c>
      <c r="I75" s="2" t="s">
        <v>10</v>
      </c>
      <c r="J75" s="2" t="s">
        <v>11</v>
      </c>
      <c r="K75" s="2" t="s">
        <v>12</v>
      </c>
    </row>
    <row r="76" spans="1:11">
      <c r="B76" s="6" t="s">
        <v>67</v>
      </c>
      <c r="C76" s="2" t="s">
        <v>68</v>
      </c>
      <c r="D76" s="5" t="s">
        <v>69</v>
      </c>
      <c r="E76" s="7">
        <v>56</v>
      </c>
      <c r="F76" s="7">
        <v>1784.96</v>
      </c>
      <c r="G76" s="7">
        <v>384.96</v>
      </c>
      <c r="H76" s="8">
        <f>IFERROR(G76/F76,"")</f>
        <v>0.21566869845822875</v>
      </c>
    </row>
    <row r="77" spans="1:11">
      <c r="C77" s="2" t="s">
        <v>70</v>
      </c>
    </row>
    <row r="78" spans="1:11">
      <c r="C78" s="2" t="s">
        <v>71</v>
      </c>
    </row>
    <row r="79" spans="1:11">
      <c r="C79" s="2" t="s">
        <v>72</v>
      </c>
    </row>
    <row r="80" spans="1:11">
      <c r="C80" s="9" t="s">
        <v>19</v>
      </c>
      <c r="D80" s="10"/>
      <c r="E80" s="11">
        <f>SUM(E76:E79)</f>
        <v>56</v>
      </c>
      <c r="F80" s="11">
        <f>SUM(F76:F79)</f>
        <v>1784.96</v>
      </c>
      <c r="G80" s="11">
        <f>SUM(G76:G79)</f>
        <v>384.96</v>
      </c>
      <c r="H80" s="12">
        <f>IFERROR(G80/F80,"")</f>
        <v>0.21566869845822875</v>
      </c>
    </row>
    <row r="81" spans="1:11">
      <c r="B81" s="5" t="s">
        <v>20</v>
      </c>
    </row>
    <row r="82" spans="1:11">
      <c r="B82" s="5" t="s">
        <v>21</v>
      </c>
      <c r="E82" s="13">
        <f>E80/$B$112</f>
        <v>3.0381944444444445E-3</v>
      </c>
      <c r="F82" s="13">
        <f>F80/$B$112</f>
        <v>9.6840277777777775E-2</v>
      </c>
      <c r="G82" s="13">
        <f>G80/$B$112</f>
        <v>2.0885416666666667E-2</v>
      </c>
    </row>
    <row r="83" spans="1:11">
      <c r="B83" s="5" t="s">
        <v>22</v>
      </c>
    </row>
    <row r="84" spans="1:11">
      <c r="B84" s="5" t="s">
        <v>23</v>
      </c>
      <c r="H84" s="14">
        <f>IFERROR((G84*0.6)+(F84*0.4),"")</f>
        <v>0</v>
      </c>
    </row>
    <row r="85" spans="1:11">
      <c r="A85" s="1">
        <v>9</v>
      </c>
      <c r="C85" s="2" t="s">
        <v>73</v>
      </c>
      <c r="D85" s="2" t="s">
        <v>5</v>
      </c>
      <c r="E85" s="2" t="s">
        <v>6</v>
      </c>
      <c r="F85" s="2" t="s">
        <v>7</v>
      </c>
      <c r="G85" s="2" t="s">
        <v>8</v>
      </c>
      <c r="H85" s="2" t="s">
        <v>9</v>
      </c>
      <c r="I85" s="2" t="s">
        <v>10</v>
      </c>
      <c r="J85" s="2" t="s">
        <v>11</v>
      </c>
      <c r="K85" s="2" t="s">
        <v>12</v>
      </c>
    </row>
    <row r="86" spans="1:11">
      <c r="B86" s="6" t="s">
        <v>74</v>
      </c>
      <c r="C86" s="2" t="s">
        <v>75</v>
      </c>
      <c r="D86" s="5" t="s">
        <v>76</v>
      </c>
      <c r="E86" s="7">
        <v>217</v>
      </c>
      <c r="F86" s="7">
        <v>7812</v>
      </c>
      <c r="G86" s="7">
        <v>1409.84</v>
      </c>
      <c r="H86" s="8">
        <f>IFERROR(G86/F86,"")</f>
        <v>0.18047107014848948</v>
      </c>
    </row>
    <row r="87" spans="1:11">
      <c r="C87" s="2" t="s">
        <v>77</v>
      </c>
    </row>
    <row r="88" spans="1:11">
      <c r="C88" s="2" t="s">
        <v>78</v>
      </c>
    </row>
    <row r="89" spans="1:11">
      <c r="C89" s="2" t="s">
        <v>79</v>
      </c>
    </row>
    <row r="90" spans="1:11">
      <c r="C90" s="9" t="s">
        <v>19</v>
      </c>
      <c r="D90" s="10"/>
      <c r="E90" s="11">
        <f>SUM(E86:E89)</f>
        <v>217</v>
      </c>
      <c r="F90" s="11">
        <f>SUM(F86:F89)</f>
        <v>7812</v>
      </c>
      <c r="G90" s="11">
        <f>SUM(G86:G89)</f>
        <v>1409.84</v>
      </c>
      <c r="H90" s="12">
        <f>IFERROR(G90/F90,"")</f>
        <v>0.18047107014848948</v>
      </c>
    </row>
    <row r="91" spans="1:11">
      <c r="B91" s="5" t="s">
        <v>20</v>
      </c>
    </row>
    <row r="92" spans="1:11">
      <c r="B92" s="5" t="s">
        <v>21</v>
      </c>
      <c r="E92" s="13">
        <f>E90/$B$112</f>
        <v>1.1773003472222222E-2</v>
      </c>
      <c r="F92" s="13">
        <f>F90/$B$112</f>
        <v>0.423828125</v>
      </c>
      <c r="G92" s="13">
        <f>G90/$B$112</f>
        <v>7.6488715277777772E-2</v>
      </c>
    </row>
    <row r="93" spans="1:11">
      <c r="B93" s="5" t="s">
        <v>22</v>
      </c>
    </row>
    <row r="94" spans="1:11">
      <c r="B94" s="5" t="s">
        <v>23</v>
      </c>
      <c r="H94" s="14">
        <f>IFERROR((G94*0.6)+(F94*0.4),"")</f>
        <v>0</v>
      </c>
    </row>
    <row r="95" spans="1:11">
      <c r="A95" s="1">
        <v>10</v>
      </c>
      <c r="C95" s="2" t="s">
        <v>80</v>
      </c>
      <c r="D95" s="2" t="s">
        <v>5</v>
      </c>
      <c r="E95" s="2" t="s">
        <v>6</v>
      </c>
      <c r="F95" s="2" t="s">
        <v>7</v>
      </c>
      <c r="G95" s="2" t="s">
        <v>8</v>
      </c>
      <c r="H95" s="2" t="s">
        <v>9</v>
      </c>
      <c r="I95" s="2" t="s">
        <v>10</v>
      </c>
      <c r="J95" s="2" t="s">
        <v>11</v>
      </c>
      <c r="K95" s="2" t="s">
        <v>12</v>
      </c>
    </row>
    <row r="96" spans="1:11">
      <c r="B96" s="6" t="s">
        <v>81</v>
      </c>
      <c r="C96" s="2" t="s">
        <v>82</v>
      </c>
      <c r="D96" s="5" t="s">
        <v>83</v>
      </c>
      <c r="E96" s="7">
        <v>326</v>
      </c>
      <c r="F96" s="7">
        <v>11732.4</v>
      </c>
      <c r="G96" s="7">
        <v>2107.42</v>
      </c>
      <c r="H96" s="8">
        <f>IFERROR(G96/F96,"")</f>
        <v>0.17962394735944906</v>
      </c>
    </row>
    <row r="97" spans="2:8">
      <c r="C97" s="2" t="s">
        <v>84</v>
      </c>
    </row>
    <row r="98" spans="2:8">
      <c r="C98" s="2" t="s">
        <v>85</v>
      </c>
    </row>
    <row r="99" spans="2:8">
      <c r="C99" s="2" t="s">
        <v>86</v>
      </c>
    </row>
    <row r="100" spans="2:8">
      <c r="C100" s="9" t="s">
        <v>19</v>
      </c>
      <c r="D100" s="10"/>
      <c r="E100" s="11">
        <f>SUM(E96:E99)</f>
        <v>326</v>
      </c>
      <c r="F100" s="11">
        <f>SUM(F96:F99)</f>
        <v>11732.4</v>
      </c>
      <c r="G100" s="11">
        <f>SUM(G96:G99)</f>
        <v>2107.42</v>
      </c>
      <c r="H100" s="12">
        <f>IFERROR(G100/F100,"")</f>
        <v>0.17962394735944906</v>
      </c>
    </row>
    <row r="101" spans="2:8">
      <c r="B101" s="5" t="s">
        <v>20</v>
      </c>
    </row>
    <row r="102" spans="2:8">
      <c r="B102" s="5" t="s">
        <v>21</v>
      </c>
      <c r="E102" s="13">
        <f>E100/$B$112</f>
        <v>1.7686631944444444E-2</v>
      </c>
      <c r="F102" s="13">
        <f>F100/$B$112</f>
        <v>0.63652343749999996</v>
      </c>
      <c r="G102" s="13">
        <f>G100/$B$112</f>
        <v>0.11433485243055556</v>
      </c>
    </row>
    <row r="103" spans="2:8">
      <c r="B103" s="5" t="s">
        <v>22</v>
      </c>
    </row>
    <row r="104" spans="2:8">
      <c r="B104" s="5" t="s">
        <v>23</v>
      </c>
      <c r="H104" s="14">
        <f>IFERROR((G104*0.6)+(F104*0.4),"")</f>
        <v>0</v>
      </c>
    </row>
    <row r="106" spans="2:8">
      <c r="B106" s="2" t="s">
        <v>87</v>
      </c>
      <c r="E106" s="15">
        <f>E10+E20+E30+E40+E50+E60+E70+E80+E90+E100</f>
        <v>2575</v>
      </c>
      <c r="F106" s="15">
        <f>F10+F20+F30+F40+F50+F60+F70+F80+F90+F100</f>
        <v>89034.540000000008</v>
      </c>
      <c r="G106" s="15">
        <f>G10+G20+G30+G40+G50+G60+G70+G80+G90+G100</f>
        <v>15509.609999999997</v>
      </c>
      <c r="H106" s="16">
        <f>IFERROR(G106/F106,"")</f>
        <v>0.17419767654215987</v>
      </c>
    </row>
    <row r="107" spans="2:8">
      <c r="B107" s="5" t="s">
        <v>88</v>
      </c>
    </row>
    <row r="108" spans="2:8">
      <c r="B108" s="5" t="s">
        <v>21</v>
      </c>
      <c r="E108" s="13">
        <f>E106/$B$112</f>
        <v>0.13970269097222221</v>
      </c>
      <c r="F108" s="13">
        <f>F106/$B$112</f>
        <v>4.8304329427083337</v>
      </c>
      <c r="G108" s="13">
        <f>G106/$B$112</f>
        <v>0.84145019531249987</v>
      </c>
    </row>
    <row r="109" spans="2:8">
      <c r="B109" s="5" t="s">
        <v>22</v>
      </c>
    </row>
    <row r="110" spans="2:8">
      <c r="B110" s="5" t="s">
        <v>23</v>
      </c>
      <c r="H110" s="14">
        <f>IFERROR((G110*0.6)+(F110*0.4),"")</f>
        <v>0</v>
      </c>
    </row>
    <row r="111" spans="2:8">
      <c r="B111" s="5" t="s">
        <v>89</v>
      </c>
      <c r="C111" s="5" t="s">
        <v>90</v>
      </c>
      <c r="D111" s="5" t="s">
        <v>91</v>
      </c>
    </row>
    <row r="112" spans="2:8">
      <c r="B112" s="17">
        <v>18432</v>
      </c>
      <c r="C112" s="10"/>
      <c r="D112" s="10"/>
    </row>
  </sheetData>
  <conditionalFormatting sqref="E11:G11">
    <cfRule type="cellIs" dxfId="395" priority="1" operator="lessThan">
      <formula>0</formula>
    </cfRule>
    <cfRule type="cellIs" dxfId="394" priority="2" operator="greaterThan">
      <formula>0</formula>
    </cfRule>
  </conditionalFormatting>
  <conditionalFormatting sqref="E21:G21">
    <cfRule type="cellIs" dxfId="393" priority="3" operator="lessThan">
      <formula>0</formula>
    </cfRule>
    <cfRule type="cellIs" dxfId="392" priority="4" operator="greaterThan">
      <formula>0</formula>
    </cfRule>
  </conditionalFormatting>
  <conditionalFormatting sqref="E31:G31">
    <cfRule type="cellIs" dxfId="391" priority="5" operator="lessThan">
      <formula>0</formula>
    </cfRule>
    <cfRule type="cellIs" dxfId="390" priority="6" operator="greaterThan">
      <formula>0</formula>
    </cfRule>
  </conditionalFormatting>
  <conditionalFormatting sqref="E41:G41">
    <cfRule type="cellIs" dxfId="389" priority="7" operator="lessThan">
      <formula>0</formula>
    </cfRule>
    <cfRule type="cellIs" dxfId="388" priority="8" operator="greaterThan">
      <formula>0</formula>
    </cfRule>
  </conditionalFormatting>
  <conditionalFormatting sqref="E51:G51">
    <cfRule type="cellIs" dxfId="387" priority="9" operator="lessThan">
      <formula>0</formula>
    </cfRule>
    <cfRule type="cellIs" dxfId="386" priority="10" operator="greaterThan">
      <formula>0</formula>
    </cfRule>
  </conditionalFormatting>
  <conditionalFormatting sqref="E61:G61">
    <cfRule type="cellIs" dxfId="385" priority="11" operator="lessThan">
      <formula>0</formula>
    </cfRule>
    <cfRule type="cellIs" dxfId="384" priority="12" operator="greaterThan">
      <formula>0</formula>
    </cfRule>
  </conditionalFormatting>
  <conditionalFormatting sqref="E71:G71">
    <cfRule type="cellIs" dxfId="383" priority="13" operator="lessThan">
      <formula>0</formula>
    </cfRule>
    <cfRule type="cellIs" dxfId="382" priority="14" operator="greaterThan">
      <formula>0</formula>
    </cfRule>
  </conditionalFormatting>
  <conditionalFormatting sqref="E81:G81">
    <cfRule type="cellIs" dxfId="381" priority="15" operator="lessThan">
      <formula>0</formula>
    </cfRule>
    <cfRule type="cellIs" dxfId="380" priority="16" operator="greaterThan">
      <formula>0</formula>
    </cfRule>
  </conditionalFormatting>
  <conditionalFormatting sqref="E91:G91">
    <cfRule type="cellIs" dxfId="379" priority="17" operator="lessThan">
      <formula>0</formula>
    </cfRule>
    <cfRule type="cellIs" dxfId="378" priority="18" operator="greaterThan">
      <formula>0</formula>
    </cfRule>
  </conditionalFormatting>
  <conditionalFormatting sqref="E101:G101">
    <cfRule type="cellIs" dxfId="377" priority="19" operator="lessThan">
      <formula>0</formula>
    </cfRule>
    <cfRule type="cellIs" dxfId="376" priority="20" operator="greaterThan">
      <formula>0</formula>
    </cfRule>
  </conditionalFormatting>
  <conditionalFormatting sqref="E107:G107">
    <cfRule type="cellIs" dxfId="375" priority="21" operator="lessThan">
      <formula>0</formula>
    </cfRule>
    <cfRule type="cellIs" dxfId="374" priority="22" operator="greaterThan">
      <formula>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2"/>
  <sheetViews>
    <sheetView tabSelected="1" zoomScaleNormal="100" zoomScaleSheetLayoutView="100" workbookViewId="0"/>
  </sheetViews>
  <sheetFormatPr defaultRowHeight="15"/>
  <cols>
    <col min="2" max="2" width="16" customWidth="1"/>
    <col min="4" max="4" width="26" customWidth="1"/>
    <col min="5" max="5" width="10" customWidth="1"/>
    <col min="6" max="7" width="12" customWidth="1"/>
    <col min="8" max="8" width="10" customWidth="1"/>
    <col min="9" max="11" width="12" customWidth="1"/>
  </cols>
  <sheetData>
    <row r="1" spans="1:11">
      <c r="A1" s="1" t="s">
        <v>0</v>
      </c>
    </row>
    <row r="3" spans="1:11">
      <c r="C3" s="2" t="s">
        <v>92</v>
      </c>
    </row>
    <row r="4" spans="1:11">
      <c r="C4" s="3" t="s">
        <v>93</v>
      </c>
      <c r="I4" s="4">
        <v>26</v>
      </c>
      <c r="J4" s="5" t="s">
        <v>3</v>
      </c>
    </row>
    <row r="5" spans="1:11">
      <c r="A5" s="1">
        <v>1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</row>
    <row r="6" spans="1:11">
      <c r="B6" s="6" t="s">
        <v>13</v>
      </c>
      <c r="C6" s="2" t="s">
        <v>14</v>
      </c>
      <c r="D6" s="5" t="s">
        <v>15</v>
      </c>
      <c r="E6" s="7">
        <v>172</v>
      </c>
      <c r="F6" s="7">
        <v>12373.52</v>
      </c>
      <c r="G6" s="7">
        <v>3085.52</v>
      </c>
      <c r="H6" s="8">
        <f>IFERROR(G6/F6,"")</f>
        <v>0.24936477251420774</v>
      </c>
      <c r="I6" s="18">
        <f>IFERROR(((E6/$B$112) / AVERAGE('V25'!E6/'V25'!$B$112)) * 100,"")</f>
        <v>103.33488701071386</v>
      </c>
      <c r="J6" s="18">
        <f>IFERROR(((F6/$B$112) / AVERAGE('V25'!F6/'V25'!$B$112)) * 100,"")</f>
        <v>103.33524071373219</v>
      </c>
      <c r="K6" s="18">
        <f>IFERROR(((G6/$B$112) / AVERAGE('V25'!G6/'V25'!$B$112)) * 100,"")</f>
        <v>103.3363054414697</v>
      </c>
    </row>
    <row r="7" spans="1:11">
      <c r="C7" s="2" t="s">
        <v>16</v>
      </c>
    </row>
    <row r="8" spans="1:11">
      <c r="C8" s="2" t="s">
        <v>17</v>
      </c>
    </row>
    <row r="9" spans="1:11">
      <c r="C9" s="2" t="s">
        <v>18</v>
      </c>
    </row>
    <row r="10" spans="1:11">
      <c r="C10" s="9" t="s">
        <v>19</v>
      </c>
      <c r="D10" s="10"/>
      <c r="E10" s="11">
        <f>SUM(E6:E9)</f>
        <v>172</v>
      </c>
      <c r="F10" s="11">
        <f>SUM(F6:F9)</f>
        <v>12373.52</v>
      </c>
      <c r="G10" s="11">
        <f>SUM(G6:G9)</f>
        <v>3085.52</v>
      </c>
      <c r="H10" s="12">
        <f>IFERROR(G10/F10,"")</f>
        <v>0.24936477251420774</v>
      </c>
    </row>
    <row r="11" spans="1:11">
      <c r="B11" s="5" t="s">
        <v>20</v>
      </c>
      <c r="E11" s="16">
        <f>IFERROR((E10-('V25'!E10))/('V25'!E10),"")</f>
        <v>1.1764705882352941E-2</v>
      </c>
      <c r="F11" s="16">
        <f>IFERROR((F10-('V25'!F10))/('V25'!F10),"")</f>
        <v>1.1768169032511289E-2</v>
      </c>
      <c r="G11" s="16">
        <f>IFERROR((G10-('V25'!G10))/('V25'!G10),"")</f>
        <v>1.1778593913955953E-2</v>
      </c>
      <c r="H11" s="16">
        <f>IFERROR(H10-('V25'!H10),"")</f>
        <v>2.5693350359234923E-6</v>
      </c>
    </row>
    <row r="12" spans="1:11">
      <c r="B12" s="5" t="s">
        <v>21</v>
      </c>
      <c r="E12" s="13">
        <f>E10/$B$112</f>
        <v>9.5306699174378014E-3</v>
      </c>
      <c r="F12" s="13">
        <f>F10/$B$112</f>
        <v>0.68562752812101735</v>
      </c>
      <c r="G12" s="13">
        <f>G10/$B$112</f>
        <v>0.17097135257937607</v>
      </c>
    </row>
    <row r="13" spans="1:11">
      <c r="B13" s="5" t="s">
        <v>22</v>
      </c>
      <c r="E13" s="8">
        <f>IFERROR((E12-'V25'!E12)/'V25'!E12,"")</f>
        <v>3.3348870107138537E-2</v>
      </c>
      <c r="F13" s="8">
        <f>IFERROR((F12-'V25'!F12)/'V25'!F12,"")</f>
        <v>3.3352407137321897E-2</v>
      </c>
      <c r="G13" s="8">
        <f>IFERROR((G12-'V25'!G12)/'V25'!G12,"")</f>
        <v>3.336305441469694E-2</v>
      </c>
    </row>
    <row r="14" spans="1:11">
      <c r="B14" s="5" t="s">
        <v>23</v>
      </c>
      <c r="E14" s="18">
        <f>(E12 / AVERAGE('V25'!E12)) * 100</f>
        <v>103.33488701071386</v>
      </c>
      <c r="F14" s="18">
        <f>(F12 / AVERAGE('V25'!F12)) * 100</f>
        <v>103.33524071373219</v>
      </c>
      <c r="G14" s="18">
        <f>(G12 / AVERAGE('V25'!G12)) * 100</f>
        <v>103.3363054414697</v>
      </c>
      <c r="H14" s="14">
        <f>IFERROR((G14*0.6)+(F14*0.4),"")</f>
        <v>103.3358795503747</v>
      </c>
    </row>
    <row r="15" spans="1:11">
      <c r="A15" s="1">
        <v>2</v>
      </c>
      <c r="C15" s="2" t="s">
        <v>24</v>
      </c>
      <c r="D15" s="2" t="s">
        <v>5</v>
      </c>
      <c r="E15" s="2" t="s">
        <v>6</v>
      </c>
      <c r="F15" s="2" t="s">
        <v>7</v>
      </c>
      <c r="G15" s="2" t="s">
        <v>8</v>
      </c>
      <c r="H15" s="2" t="s">
        <v>9</v>
      </c>
      <c r="I15" s="2" t="s">
        <v>10</v>
      </c>
      <c r="J15" s="2" t="s">
        <v>11</v>
      </c>
      <c r="K15" s="2" t="s">
        <v>12</v>
      </c>
    </row>
    <row r="16" spans="1:11">
      <c r="B16" s="6" t="s">
        <v>25</v>
      </c>
      <c r="C16" s="2" t="s">
        <v>26</v>
      </c>
      <c r="D16" s="5" t="s">
        <v>27</v>
      </c>
      <c r="E16" s="7">
        <v>157</v>
      </c>
      <c r="F16" s="7">
        <v>3133.72</v>
      </c>
      <c r="G16" s="7">
        <v>629.57000000000005</v>
      </c>
      <c r="H16" s="8">
        <f>IFERROR(G16/F16,"")</f>
        <v>0.20090180360721446</v>
      </c>
      <c r="I16" s="18">
        <f>IFERROR(((E16/$B$112) / AVERAGE('V25'!E16/'V25'!$B$112)) * 100,"")</f>
        <v>107.61698666754927</v>
      </c>
      <c r="J16" s="18">
        <f>IFERROR(((F16/$B$112) / AVERAGE('V25'!F16/'V25'!$B$112)) * 100,"")</f>
        <v>102.2148629060744</v>
      </c>
      <c r="K16" s="18">
        <f>IFERROR(((G16/$B$112) / AVERAGE('V25'!G16/'V25'!$B$112)) * 100,"")</f>
        <v>89.709349522844491</v>
      </c>
    </row>
    <row r="17" spans="1:11">
      <c r="C17" s="2" t="s">
        <v>28</v>
      </c>
    </row>
    <row r="18" spans="1:11">
      <c r="C18" s="2" t="s">
        <v>29</v>
      </c>
    </row>
    <row r="19" spans="1:11">
      <c r="C19" s="2" t="s">
        <v>30</v>
      </c>
    </row>
    <row r="20" spans="1:11">
      <c r="C20" s="9" t="s">
        <v>19</v>
      </c>
      <c r="D20" s="10"/>
      <c r="E20" s="11">
        <f>SUM(E16:E19)</f>
        <v>157</v>
      </c>
      <c r="F20" s="11">
        <f>SUM(F16:F19)</f>
        <v>3133.72</v>
      </c>
      <c r="G20" s="11">
        <f>SUM(G16:G19)</f>
        <v>629.57000000000005</v>
      </c>
      <c r="H20" s="12">
        <f>IFERROR(G20/F20,"")</f>
        <v>0.20090180360721446</v>
      </c>
    </row>
    <row r="21" spans="1:11">
      <c r="B21" s="5" t="s">
        <v>20</v>
      </c>
      <c r="E21" s="16">
        <f>IFERROR((E20-('V25'!E20))/('V25'!E20),"")</f>
        <v>5.3691275167785234E-2</v>
      </c>
      <c r="F21" s="16">
        <f>IFERROR((F20-('V25'!F20))/('V25'!F20),"")</f>
        <v>7.9841084305797743E-4</v>
      </c>
      <c r="G21" s="16">
        <f>IFERROR((G20-('V25'!G20))/('V25'!G20),"")</f>
        <v>-0.12164462302583841</v>
      </c>
      <c r="H21" s="16">
        <f>IFERROR(H20-('V25'!H20),"")</f>
        <v>-2.8005778740879894E-2</v>
      </c>
    </row>
    <row r="22" spans="1:11">
      <c r="B22" s="5" t="s">
        <v>21</v>
      </c>
      <c r="E22" s="13">
        <f>E20/$B$112</f>
        <v>8.6995068432426451E-3</v>
      </c>
      <c r="F22" s="13">
        <f>F20/$B$112</f>
        <v>0.17364215659112317</v>
      </c>
      <c r="G22" s="13">
        <f>G20/$B$112</f>
        <v>3.4885022441403006E-2</v>
      </c>
    </row>
    <row r="23" spans="1:11">
      <c r="B23" s="5" t="s">
        <v>22</v>
      </c>
      <c r="E23" s="8">
        <f>IFERROR((E22-'V25'!E22)/'V25'!E22,"")</f>
        <v>7.6169866675492748E-2</v>
      </c>
      <c r="F23" s="8">
        <f>IFERROR((F22-'V25'!F22)/'V25'!F22,"")</f>
        <v>2.2148629060743923E-2</v>
      </c>
      <c r="G23" s="8">
        <f>IFERROR((G22-'V25'!G22)/'V25'!G22,"")</f>
        <v>-0.10290650477155505</v>
      </c>
    </row>
    <row r="24" spans="1:11">
      <c r="B24" s="5" t="s">
        <v>23</v>
      </c>
      <c r="E24" s="18">
        <f>(E22 / AVERAGE('V25'!E22)) * 100</f>
        <v>107.61698666754927</v>
      </c>
      <c r="F24" s="18">
        <f>(F22 / AVERAGE('V25'!F22)) * 100</f>
        <v>102.2148629060744</v>
      </c>
      <c r="G24" s="18">
        <f>(G22 / AVERAGE('V25'!G22)) * 100</f>
        <v>89.709349522844491</v>
      </c>
      <c r="H24" s="14">
        <f>IFERROR((G24*0.6)+(F24*0.4),"")</f>
        <v>94.711554876136461</v>
      </c>
    </row>
    <row r="25" spans="1:11">
      <c r="A25" s="1">
        <v>3</v>
      </c>
      <c r="C25" s="2" t="s">
        <v>31</v>
      </c>
      <c r="D25" s="2" t="s">
        <v>5</v>
      </c>
      <c r="E25" s="2" t="s">
        <v>6</v>
      </c>
      <c r="F25" s="2" t="s">
        <v>7</v>
      </c>
      <c r="G25" s="2" t="s">
        <v>8</v>
      </c>
      <c r="H25" s="2" t="s">
        <v>9</v>
      </c>
      <c r="I25" s="2" t="s">
        <v>10</v>
      </c>
      <c r="J25" s="2" t="s">
        <v>11</v>
      </c>
      <c r="K25" s="2" t="s">
        <v>12</v>
      </c>
    </row>
    <row r="26" spans="1:11">
      <c r="B26" s="6" t="s">
        <v>32</v>
      </c>
      <c r="C26" s="2" t="s">
        <v>33</v>
      </c>
      <c r="D26" s="5" t="s">
        <v>34</v>
      </c>
      <c r="E26" s="7">
        <v>351</v>
      </c>
      <c r="F26" s="7">
        <v>8291.3799999999992</v>
      </c>
      <c r="G26" s="7">
        <v>1844.02</v>
      </c>
      <c r="H26" s="8">
        <f>IFERROR(G26/F26,"")</f>
        <v>0.22240206093557408</v>
      </c>
      <c r="I26" s="18">
        <f>IFERROR(((E26/$B$112) / AVERAGE('V25'!E26/'V25'!$B$112)) * 100,"")</f>
        <v>52.030181151730645</v>
      </c>
      <c r="J26" s="18">
        <f>IFERROR(((F26/$B$112) / AVERAGE('V25'!F26/'V25'!$B$112)) * 100,"")</f>
        <v>52.019032604752049</v>
      </c>
      <c r="K26" s="18">
        <f>IFERROR(((G26/$B$112) / AVERAGE('V25'!G26/'V25'!$B$112)) * 100,"")</f>
        <v>52.722068530016244</v>
      </c>
    </row>
    <row r="27" spans="1:11">
      <c r="C27" s="2" t="s">
        <v>35</v>
      </c>
    </row>
    <row r="28" spans="1:11">
      <c r="C28" s="2" t="s">
        <v>36</v>
      </c>
    </row>
    <row r="29" spans="1:11">
      <c r="C29" s="2" t="s">
        <v>37</v>
      </c>
    </row>
    <row r="30" spans="1:11">
      <c r="C30" s="9" t="s">
        <v>19</v>
      </c>
      <c r="D30" s="10"/>
      <c r="E30" s="11">
        <f>SUM(E26:E29)</f>
        <v>351</v>
      </c>
      <c r="F30" s="11">
        <f>SUM(F26:F29)</f>
        <v>8291.3799999999992</v>
      </c>
      <c r="G30" s="11">
        <f>SUM(G26:G29)</f>
        <v>1844.02</v>
      </c>
      <c r="H30" s="12">
        <f>IFERROR(G30/F30,"")</f>
        <v>0.22240206093557408</v>
      </c>
    </row>
    <row r="31" spans="1:11">
      <c r="B31" s="5" t="s">
        <v>20</v>
      </c>
      <c r="E31" s="16">
        <f>IFERROR((E30-('V25'!E30))/('V25'!E30),"")</f>
        <v>-0.49056603773584906</v>
      </c>
      <c r="F31" s="16">
        <f>IFERROR((F30-('V25'!F30))/('V25'!F30),"")</f>
        <v>-0.49067519454320746</v>
      </c>
      <c r="G31" s="16">
        <f>IFERROR((G30-('V25'!G30))/('V25'!G30),"")</f>
        <v>-0.48379168252972921</v>
      </c>
      <c r="H31" s="16">
        <f>IFERROR(H30-('V25'!H30),"")</f>
        <v>2.9656772401008558E-3</v>
      </c>
    </row>
    <row r="32" spans="1:11">
      <c r="B32" s="5" t="s">
        <v>21</v>
      </c>
      <c r="E32" s="13">
        <f>E30/$B$112</f>
        <v>1.9449215936166674E-2</v>
      </c>
      <c r="F32" s="13">
        <f>F30/$B$112</f>
        <v>0.45943259267468273</v>
      </c>
      <c r="G32" s="13">
        <f>G30/$B$112</f>
        <v>0.10217875547182358</v>
      </c>
    </row>
    <row r="33" spans="1:11">
      <c r="B33" s="5" t="s">
        <v>22</v>
      </c>
      <c r="E33" s="8">
        <f>IFERROR((E32-'V25'!E32)/'V25'!E32,"")</f>
        <v>-0.47969818848269358</v>
      </c>
      <c r="F33" s="8">
        <f>IFERROR((F32-'V25'!F32)/'V25'!F32,"")</f>
        <v>-0.47980967395247959</v>
      </c>
      <c r="G33" s="8">
        <f>IFERROR((G32-'V25'!G32)/'V25'!G32,"")</f>
        <v>-0.47277931469983758</v>
      </c>
    </row>
    <row r="34" spans="1:11">
      <c r="B34" s="5" t="s">
        <v>23</v>
      </c>
      <c r="E34" s="18">
        <f>(E32 / AVERAGE('V25'!E32)) * 100</f>
        <v>52.030181151730645</v>
      </c>
      <c r="F34" s="18">
        <f>(F32 / AVERAGE('V25'!F32)) * 100</f>
        <v>52.019032604752049</v>
      </c>
      <c r="G34" s="18">
        <f>(G32 / AVERAGE('V25'!G32)) * 100</f>
        <v>52.722068530016244</v>
      </c>
      <c r="H34" s="14">
        <f>IFERROR((G34*0.6)+(F34*0.4),"")</f>
        <v>52.440854159910572</v>
      </c>
    </row>
    <row r="35" spans="1:11">
      <c r="A35" s="1">
        <v>4</v>
      </c>
      <c r="C35" s="2" t="s">
        <v>38</v>
      </c>
      <c r="D35" s="2" t="s">
        <v>5</v>
      </c>
      <c r="E35" s="2" t="s">
        <v>6</v>
      </c>
      <c r="F35" s="2" t="s">
        <v>7</v>
      </c>
      <c r="G35" s="2" t="s">
        <v>8</v>
      </c>
      <c r="H35" s="2" t="s">
        <v>9</v>
      </c>
      <c r="I35" s="2" t="s">
        <v>10</v>
      </c>
      <c r="J35" s="2" t="s">
        <v>11</v>
      </c>
      <c r="K35" s="2" t="s">
        <v>12</v>
      </c>
    </row>
    <row r="36" spans="1:11">
      <c r="B36" s="6" t="s">
        <v>39</v>
      </c>
      <c r="C36" s="2" t="s">
        <v>40</v>
      </c>
      <c r="D36" s="5" t="s">
        <v>41</v>
      </c>
      <c r="E36" s="7">
        <v>481</v>
      </c>
      <c r="F36" s="7">
        <v>11364.18</v>
      </c>
      <c r="G36" s="7">
        <v>2507.52</v>
      </c>
      <c r="H36" s="8">
        <f>IFERROR(G36/F36,"")</f>
        <v>0.2206512040463984</v>
      </c>
      <c r="I36" s="18">
        <f>IFERROR(((E36/$B$112) / AVERAGE('V25'!E36/'V25'!$B$112)) * 100,"")</f>
        <v>90.305379091848408</v>
      </c>
      <c r="J36" s="18">
        <f>IFERROR(((F36/$B$112) / AVERAGE('V25'!F36/'V25'!$B$112)) * 100,"")</f>
        <v>90.319909488787658</v>
      </c>
      <c r="K36" s="18">
        <f>IFERROR(((G36/$B$112) / AVERAGE('V25'!G36/'V25'!$B$112)) * 100,"")</f>
        <v>88.831543166251009</v>
      </c>
    </row>
    <row r="37" spans="1:11">
      <c r="C37" s="2" t="s">
        <v>42</v>
      </c>
    </row>
    <row r="38" spans="1:11">
      <c r="C38" s="2" t="s">
        <v>43</v>
      </c>
    </row>
    <row r="39" spans="1:11">
      <c r="C39" s="2" t="s">
        <v>44</v>
      </c>
    </row>
    <row r="40" spans="1:11">
      <c r="C40" s="9" t="s">
        <v>19</v>
      </c>
      <c r="D40" s="10"/>
      <c r="E40" s="11">
        <f>SUM(E36:E39)</f>
        <v>481</v>
      </c>
      <c r="F40" s="11">
        <f>SUM(F36:F39)</f>
        <v>11364.18</v>
      </c>
      <c r="G40" s="11">
        <f>SUM(G36:G39)</f>
        <v>2507.52</v>
      </c>
      <c r="H40" s="12">
        <f>IFERROR(G40/F40,"")</f>
        <v>0.2206512040463984</v>
      </c>
    </row>
    <row r="41" spans="1:11">
      <c r="B41" s="5" t="s">
        <v>20</v>
      </c>
      <c r="E41" s="16">
        <f>IFERROR((E40-('V25'!E40))/('V25'!E40),"")</f>
        <v>-0.11580882352941177</v>
      </c>
      <c r="F41" s="16">
        <f>IFERROR((F40-('V25'!F40))/('V25'!F40),"")</f>
        <v>-0.11566655460929323</v>
      </c>
      <c r="G41" s="16">
        <f>IFERROR((G40-('V25'!G40))/('V25'!G40),"")</f>
        <v>-0.13023933402705515</v>
      </c>
      <c r="H41" s="16">
        <f>IFERROR(H40-('V25'!H40),"")</f>
        <v>-3.6969955651360575E-3</v>
      </c>
    </row>
    <row r="42" spans="1:11">
      <c r="B42" s="5" t="s">
        <v>21</v>
      </c>
      <c r="E42" s="13">
        <f>E40/$B$112</f>
        <v>2.6652629245858036E-2</v>
      </c>
      <c r="F42" s="13">
        <f>F40/$B$112</f>
        <v>0.62969911896714137</v>
      </c>
      <c r="G42" s="13">
        <f>G40/$B$112</f>
        <v>0.13894386878705603</v>
      </c>
    </row>
    <row r="43" spans="1:11">
      <c r="B43" s="5" t="s">
        <v>22</v>
      </c>
      <c r="E43" s="8">
        <f>IFERROR((E42-'V25'!E42)/'V25'!E42,"")</f>
        <v>-9.6946209081515938E-2</v>
      </c>
      <c r="F43" s="8">
        <f>IFERROR((F42-'V25'!F42)/'V25'!F42,"")</f>
        <v>-9.6800905112123484E-2</v>
      </c>
      <c r="G43" s="8">
        <f>IFERROR((G42-'V25'!G42)/'V25'!G42,"")</f>
        <v>-0.11168456833748981</v>
      </c>
    </row>
    <row r="44" spans="1:11">
      <c r="B44" s="5" t="s">
        <v>23</v>
      </c>
      <c r="E44" s="18">
        <f>(E42 / AVERAGE('V25'!E42)) * 100</f>
        <v>90.305379091848408</v>
      </c>
      <c r="F44" s="18">
        <f>(F42 / AVERAGE('V25'!F42)) * 100</f>
        <v>90.319909488787658</v>
      </c>
      <c r="G44" s="18">
        <f>(G42 / AVERAGE('V25'!G42)) * 100</f>
        <v>88.831543166251009</v>
      </c>
      <c r="H44" s="14">
        <f>IFERROR((G44*0.6)+(F44*0.4),"")</f>
        <v>89.426889695265672</v>
      </c>
    </row>
    <row r="45" spans="1:11">
      <c r="A45" s="1">
        <v>5</v>
      </c>
      <c r="C45" s="2" t="s">
        <v>45</v>
      </c>
      <c r="D45" s="2" t="s">
        <v>5</v>
      </c>
      <c r="E45" s="2" t="s">
        <v>6</v>
      </c>
      <c r="F45" s="2" t="s">
        <v>7</v>
      </c>
      <c r="G45" s="2" t="s">
        <v>8</v>
      </c>
      <c r="H45" s="2" t="s">
        <v>9</v>
      </c>
      <c r="I45" s="2" t="s">
        <v>10</v>
      </c>
      <c r="J45" s="2" t="s">
        <v>11</v>
      </c>
      <c r="K45" s="2" t="s">
        <v>12</v>
      </c>
    </row>
    <row r="46" spans="1:11">
      <c r="B46" s="6" t="s">
        <v>46</v>
      </c>
      <c r="C46" s="2" t="s">
        <v>47</v>
      </c>
      <c r="D46" s="5" t="s">
        <v>48</v>
      </c>
      <c r="E46" s="7">
        <v>233</v>
      </c>
      <c r="F46" s="7">
        <v>16766.68</v>
      </c>
      <c r="G46" s="7">
        <v>-33.319999999999702</v>
      </c>
      <c r="H46" s="8">
        <f>IFERROR(G46/F46,"")</f>
        <v>-1.9872747616105097E-3</v>
      </c>
      <c r="I46" s="18">
        <f>IFERROR(((E46/$B$112) / AVERAGE('V25'!E46/'V25'!$B$112)) * 100,"")</f>
        <v>116.08323523807078</v>
      </c>
      <c r="J46" s="18">
        <f>IFERROR(((F46/$B$112) / AVERAGE('V25'!F46/'V25'!$B$112)) * 100,"")</f>
        <v>116.11157087542701</v>
      </c>
      <c r="K46" s="18">
        <f>IFERROR(((G46/$B$112) / AVERAGE('V25'!G46/'V25'!$B$112)) * 100,"")</f>
        <v>7.7027663520202907</v>
      </c>
    </row>
    <row r="47" spans="1:11">
      <c r="C47" s="2" t="s">
        <v>49</v>
      </c>
    </row>
    <row r="48" spans="1:11">
      <c r="C48" s="2" t="s">
        <v>50</v>
      </c>
    </row>
    <row r="49" spans="1:11">
      <c r="C49" s="2" t="s">
        <v>51</v>
      </c>
    </row>
    <row r="50" spans="1:11">
      <c r="C50" s="9" t="s">
        <v>19</v>
      </c>
      <c r="D50" s="10"/>
      <c r="E50" s="11">
        <f>SUM(E46:E49)</f>
        <v>233</v>
      </c>
      <c r="F50" s="11">
        <f>SUM(F46:F49)</f>
        <v>16766.68</v>
      </c>
      <c r="G50" s="11">
        <f>SUM(G46:G49)</f>
        <v>-33.319999999999702</v>
      </c>
      <c r="H50" s="12">
        <f>IFERROR(G50/F50,"")</f>
        <v>-1.9872747616105097E-3</v>
      </c>
    </row>
    <row r="51" spans="1:11">
      <c r="B51" s="5" t="s">
        <v>20</v>
      </c>
      <c r="E51" s="16">
        <f>IFERROR((E50-('V25'!E50))/('V25'!E50),"")</f>
        <v>0.13658536585365855</v>
      </c>
      <c r="F51" s="16">
        <f>IFERROR((F50-('V25'!F50))/('V25'!F50),"")</f>
        <v>0.13686280359637104</v>
      </c>
      <c r="G51" s="16">
        <f>IFERROR((G50-('V25'!G50))/('V25'!G50),"")</f>
        <v>-0.92458125848800443</v>
      </c>
      <c r="H51" s="16">
        <f>IFERROR(H50-('V25'!H50),"")</f>
        <v>2.7968923282896678E-2</v>
      </c>
    </row>
    <row r="52" spans="1:11">
      <c r="B52" s="5" t="s">
        <v>21</v>
      </c>
      <c r="E52" s="13">
        <f>E50/$B$112</f>
        <v>1.291073308583144E-2</v>
      </c>
      <c r="F52" s="13">
        <f>F50/$B$112</f>
        <v>0.9290563528564304</v>
      </c>
      <c r="G52" s="13">
        <f>G50/$B$112</f>
        <v>-1.8462902421454925E-3</v>
      </c>
    </row>
    <row r="53" spans="1:11">
      <c r="B53" s="5" t="s">
        <v>22</v>
      </c>
      <c r="E53" s="8">
        <f>IFERROR((E52-'V25'!E52)/'V25'!E52,"")</f>
        <v>0.16083235238070775</v>
      </c>
      <c r="F53" s="8">
        <f>IFERROR((F52-'V25'!F52)/'V25'!F52,"")</f>
        <v>0.16111570875427003</v>
      </c>
      <c r="G53" s="8">
        <f>IFERROR((G52-'V25'!G52)/'V25'!G52,"")</f>
        <v>-0.92297233647979715</v>
      </c>
    </row>
    <row r="54" spans="1:11">
      <c r="B54" s="5" t="s">
        <v>23</v>
      </c>
      <c r="E54" s="18">
        <f>(E52 / AVERAGE('V25'!E52)) * 100</f>
        <v>116.08323523807078</v>
      </c>
      <c r="F54" s="18">
        <f>(F52 / AVERAGE('V25'!F52)) * 100</f>
        <v>116.11157087542701</v>
      </c>
      <c r="G54" s="18">
        <f>(G52 / AVERAGE('V25'!G52)) * 100</f>
        <v>7.7027663520202907</v>
      </c>
      <c r="H54" s="14">
        <f>IFERROR((G54*0.6)+(F54*0.4),"")</f>
        <v>51.066288161382978</v>
      </c>
    </row>
    <row r="55" spans="1:11">
      <c r="A55" s="1">
        <v>6</v>
      </c>
      <c r="C55" s="2" t="s">
        <v>52</v>
      </c>
      <c r="D55" s="2" t="s">
        <v>5</v>
      </c>
      <c r="E55" s="2" t="s">
        <v>6</v>
      </c>
      <c r="F55" s="2" t="s">
        <v>7</v>
      </c>
      <c r="G55" s="2" t="s">
        <v>8</v>
      </c>
      <c r="H55" s="2" t="s">
        <v>9</v>
      </c>
      <c r="I55" s="2" t="s">
        <v>10</v>
      </c>
      <c r="J55" s="2" t="s">
        <v>11</v>
      </c>
      <c r="K55" s="2" t="s">
        <v>12</v>
      </c>
    </row>
    <row r="56" spans="1:11">
      <c r="B56" s="6" t="s">
        <v>53</v>
      </c>
      <c r="C56" s="2" t="s">
        <v>54</v>
      </c>
      <c r="D56" s="5" t="s">
        <v>55</v>
      </c>
      <c r="E56" s="7">
        <v>187</v>
      </c>
      <c r="F56" s="7">
        <v>7622.12</v>
      </c>
      <c r="G56" s="7">
        <v>1638.12</v>
      </c>
      <c r="H56" s="8">
        <f>IFERROR(G56/F56,"")</f>
        <v>0.21491658488714424</v>
      </c>
      <c r="I56" s="18">
        <f>IFERROR(((E56/$B$112) / AVERAGE('V25'!E56/'V25'!$B$112)) * 100,"")</f>
        <v>97.443523317234011</v>
      </c>
      <c r="J56" s="18">
        <f>IFERROR(((F56/$B$112) / AVERAGE('V25'!F56/'V25'!$B$112)) * 100,"")</f>
        <v>97.443523317234025</v>
      </c>
      <c r="K56" s="18">
        <f>IFERROR(((G56/$B$112) / AVERAGE('V25'!G56/'V25'!$B$112)) * 100,"")</f>
        <v>97.443523317234011</v>
      </c>
    </row>
    <row r="57" spans="1:11">
      <c r="C57" s="2" t="s">
        <v>56</v>
      </c>
    </row>
    <row r="58" spans="1:11">
      <c r="C58" s="2" t="s">
        <v>57</v>
      </c>
    </row>
    <row r="59" spans="1:11">
      <c r="C59" s="2" t="s">
        <v>58</v>
      </c>
    </row>
    <row r="60" spans="1:11">
      <c r="C60" s="9" t="s">
        <v>19</v>
      </c>
      <c r="D60" s="10"/>
      <c r="E60" s="11">
        <f>SUM(E56:E59)</f>
        <v>187</v>
      </c>
      <c r="F60" s="11">
        <f>SUM(F56:F59)</f>
        <v>7622.12</v>
      </c>
      <c r="G60" s="11">
        <f>SUM(G56:G59)</f>
        <v>1638.12</v>
      </c>
      <c r="H60" s="12">
        <f>IFERROR(G60/F60,"")</f>
        <v>0.21491658488714424</v>
      </c>
    </row>
    <row r="61" spans="1:11">
      <c r="B61" s="5" t="s">
        <v>20</v>
      </c>
      <c r="E61" s="16">
        <f>IFERROR((E60-('V25'!E60))/('V25'!E60),"")</f>
        <v>-4.5918367346938778E-2</v>
      </c>
      <c r="F61" s="16">
        <f>IFERROR((F60-('V25'!F60))/('V25'!F60),"")</f>
        <v>-4.5918367346938792E-2</v>
      </c>
      <c r="G61" s="16">
        <f>IFERROR((G60-('V25'!G60))/('V25'!G60),"")</f>
        <v>-4.5918367346938861E-2</v>
      </c>
      <c r="H61" s="16">
        <f>IFERROR(H60-('V25'!H60),"")</f>
        <v>-2.7755575615628914E-17</v>
      </c>
    </row>
    <row r="62" spans="1:11">
      <c r="B62" s="5" t="s">
        <v>21</v>
      </c>
      <c r="E62" s="13">
        <f>E60/$B$112</f>
        <v>1.0361832991632958E-2</v>
      </c>
      <c r="F62" s="13">
        <f>F60/$B$112</f>
        <v>0.4223483127389594</v>
      </c>
      <c r="G62" s="13">
        <f>G60/$B$112</f>
        <v>9.076965700670471E-2</v>
      </c>
    </row>
    <row r="63" spans="1:11">
      <c r="B63" s="5" t="s">
        <v>22</v>
      </c>
      <c r="E63" s="8">
        <f>IFERROR((E62-'V25'!E62)/'V25'!E62,"")</f>
        <v>-2.5564766827659853E-2</v>
      </c>
      <c r="F63" s="8">
        <f>IFERROR((F62-'V25'!F62)/'V25'!F62,"")</f>
        <v>-2.5564766827659725E-2</v>
      </c>
      <c r="G63" s="8">
        <f>IFERROR((G62-'V25'!G62)/'V25'!G62,"")</f>
        <v>-2.5564766827659846E-2</v>
      </c>
    </row>
    <row r="64" spans="1:11">
      <c r="B64" s="5" t="s">
        <v>23</v>
      </c>
      <c r="E64" s="18">
        <f>(E62 / AVERAGE('V25'!E62)) * 100</f>
        <v>97.443523317234011</v>
      </c>
      <c r="F64" s="18">
        <f>(F62 / AVERAGE('V25'!F62)) * 100</f>
        <v>97.443523317234025</v>
      </c>
      <c r="G64" s="18">
        <f>(G62 / AVERAGE('V25'!G62)) * 100</f>
        <v>97.443523317234011</v>
      </c>
      <c r="H64" s="14">
        <f>IFERROR((G64*0.6)+(F64*0.4),"")</f>
        <v>97.443523317234025</v>
      </c>
    </row>
    <row r="65" spans="1:11">
      <c r="A65" s="1">
        <v>7</v>
      </c>
      <c r="C65" s="2" t="s">
        <v>59</v>
      </c>
      <c r="D65" s="2" t="s">
        <v>5</v>
      </c>
      <c r="E65" s="2" t="s">
        <v>6</v>
      </c>
      <c r="F65" s="2" t="s">
        <v>7</v>
      </c>
      <c r="G65" s="2" t="s">
        <v>8</v>
      </c>
      <c r="H65" s="2" t="s">
        <v>9</v>
      </c>
      <c r="I65" s="2" t="s">
        <v>10</v>
      </c>
      <c r="J65" s="2" t="s">
        <v>11</v>
      </c>
      <c r="K65" s="2" t="s">
        <v>12</v>
      </c>
    </row>
    <row r="66" spans="1:11">
      <c r="B66" s="6" t="s">
        <v>60</v>
      </c>
      <c r="C66" s="2" t="s">
        <v>61</v>
      </c>
      <c r="D66" s="5" t="s">
        <v>62</v>
      </c>
      <c r="E66" s="7">
        <v>119</v>
      </c>
      <c r="F66" s="7">
        <v>2470.44</v>
      </c>
      <c r="G66" s="7">
        <v>572.39</v>
      </c>
      <c r="H66" s="8">
        <f>IFERROR(G66/F66,"")</f>
        <v>0.23169556840077071</v>
      </c>
      <c r="I66" s="18">
        <f>IFERROR(((E66/$B$112) / AVERAGE('V25'!E66/'V25'!$B$112)) * 100,"")</f>
        <v>528.42890905630475</v>
      </c>
      <c r="J66" s="18">
        <f>IFERROR(((F66/$B$112) / AVERAGE('V25'!F66/'V25'!$B$112)) * 100,"")</f>
        <v>528.42890905630475</v>
      </c>
      <c r="K66" s="18">
        <f>IFERROR(((G66/$B$112) / AVERAGE('V25'!G66/'V25'!$B$112)) * 100,"")</f>
        <v>528.42890905630463</v>
      </c>
    </row>
    <row r="67" spans="1:11">
      <c r="C67" s="2" t="s">
        <v>63</v>
      </c>
    </row>
    <row r="68" spans="1:11">
      <c r="C68" s="2" t="s">
        <v>64</v>
      </c>
    </row>
    <row r="69" spans="1:11">
      <c r="C69" s="2" t="s">
        <v>65</v>
      </c>
    </row>
    <row r="70" spans="1:11">
      <c r="C70" s="9" t="s">
        <v>19</v>
      </c>
      <c r="D70" s="10"/>
      <c r="E70" s="11">
        <f>SUM(E66:E69)</f>
        <v>119</v>
      </c>
      <c r="F70" s="11">
        <f>SUM(F66:F69)</f>
        <v>2470.44</v>
      </c>
      <c r="G70" s="11">
        <f>SUM(G66:G69)</f>
        <v>572.39</v>
      </c>
      <c r="H70" s="12">
        <f>IFERROR(G70/F70,"")</f>
        <v>0.23169556840077071</v>
      </c>
    </row>
    <row r="71" spans="1:11">
      <c r="B71" s="5" t="s">
        <v>20</v>
      </c>
      <c r="E71" s="16">
        <f>IFERROR((E70-('V25'!E70))/('V25'!E70),"")</f>
        <v>4.1739130434782608</v>
      </c>
      <c r="F71" s="16">
        <f>IFERROR((F70-('V25'!F70))/('V25'!F70),"")</f>
        <v>4.1739130434782608</v>
      </c>
      <c r="G71" s="16">
        <f>IFERROR((G70-('V25'!G70))/('V25'!G70),"")</f>
        <v>4.1739130434782608</v>
      </c>
      <c r="H71" s="16">
        <f>IFERROR(H70-('V25'!H70),"")</f>
        <v>2.7755575615628914E-17</v>
      </c>
    </row>
    <row r="72" spans="1:11">
      <c r="B72" s="5" t="s">
        <v>21</v>
      </c>
      <c r="E72" s="13">
        <f>E70/$B$112</f>
        <v>6.593893721948246E-3</v>
      </c>
      <c r="F72" s="13">
        <f>F70/$B$112</f>
        <v>0.1368892336676456</v>
      </c>
      <c r="G72" s="13">
        <f>G70/$B$112</f>
        <v>3.1716628802571062E-2</v>
      </c>
    </row>
    <row r="73" spans="1:11">
      <c r="B73" s="5" t="s">
        <v>22</v>
      </c>
      <c r="E73" s="8">
        <f>IFERROR((E72-'V25'!E72)/'V25'!E72,"")</f>
        <v>4.2842890905630471</v>
      </c>
      <c r="F73" s="8">
        <f>IFERROR((F72-'V25'!F72)/'V25'!F72,"")</f>
        <v>4.2842890905630471</v>
      </c>
      <c r="G73" s="8">
        <f>IFERROR((G72-'V25'!G72)/'V25'!G72,"")</f>
        <v>4.2842890905630462</v>
      </c>
    </row>
    <row r="74" spans="1:11">
      <c r="B74" s="5" t="s">
        <v>23</v>
      </c>
      <c r="E74" s="18">
        <f>(E72 / AVERAGE('V25'!E72)) * 100</f>
        <v>528.42890905630475</v>
      </c>
      <c r="F74" s="18">
        <f>(F72 / AVERAGE('V25'!F72)) * 100</f>
        <v>528.42890905630475</v>
      </c>
      <c r="G74" s="18">
        <f>(G72 / AVERAGE('V25'!G72)) * 100</f>
        <v>528.42890905630463</v>
      </c>
      <c r="H74" s="14">
        <f>IFERROR((G74*0.6)+(F74*0.4),"")</f>
        <v>528.42890905630463</v>
      </c>
    </row>
    <row r="75" spans="1:11">
      <c r="A75" s="1">
        <v>8</v>
      </c>
      <c r="C75" s="2" t="s">
        <v>66</v>
      </c>
      <c r="D75" s="2" t="s">
        <v>5</v>
      </c>
      <c r="E75" s="2" t="s">
        <v>6</v>
      </c>
      <c r="F75" s="2" t="s">
        <v>7</v>
      </c>
      <c r="G75" s="2" t="s">
        <v>8</v>
      </c>
      <c r="H75" s="2" t="s">
        <v>9</v>
      </c>
      <c r="I75" s="2" t="s">
        <v>10</v>
      </c>
      <c r="J75" s="2" t="s">
        <v>11</v>
      </c>
      <c r="K75" s="2" t="s">
        <v>12</v>
      </c>
    </row>
    <row r="76" spans="1:11">
      <c r="B76" s="6" t="s">
        <v>67</v>
      </c>
      <c r="C76" s="2" t="s">
        <v>68</v>
      </c>
      <c r="D76" s="5" t="s">
        <v>69</v>
      </c>
      <c r="E76" s="7">
        <v>49</v>
      </c>
      <c r="F76" s="7">
        <v>1562.84</v>
      </c>
      <c r="G76" s="7">
        <v>337.84</v>
      </c>
      <c r="H76" s="8">
        <f>IFERROR(G76/F76,"")</f>
        <v>0.2161705612858642</v>
      </c>
      <c r="I76" s="18">
        <f>IFERROR(((E76/$B$112) / AVERAGE('V25'!E76/'V25'!$B$112)) * 100,"")</f>
        <v>89.366653737463281</v>
      </c>
      <c r="J76" s="18">
        <f>IFERROR(((F76/$B$112) / AVERAGE('V25'!F76/'V25'!$B$112)) * 100,"")</f>
        <v>89.423872565088047</v>
      </c>
      <c r="K76" s="18">
        <f>IFERROR(((G76/$B$112) / AVERAGE('V25'!G76/'V25'!$B$112)) * 100,"")</f>
        <v>89.631962648927072</v>
      </c>
    </row>
    <row r="77" spans="1:11">
      <c r="C77" s="2" t="s">
        <v>70</v>
      </c>
    </row>
    <row r="78" spans="1:11">
      <c r="C78" s="2" t="s">
        <v>71</v>
      </c>
    </row>
    <row r="79" spans="1:11">
      <c r="C79" s="2" t="s">
        <v>72</v>
      </c>
    </row>
    <row r="80" spans="1:11">
      <c r="C80" s="9" t="s">
        <v>19</v>
      </c>
      <c r="D80" s="10"/>
      <c r="E80" s="11">
        <f>SUM(E76:E79)</f>
        <v>49</v>
      </c>
      <c r="F80" s="11">
        <f>SUM(F76:F79)</f>
        <v>1562.84</v>
      </c>
      <c r="G80" s="11">
        <f>SUM(G76:G79)</f>
        <v>337.84</v>
      </c>
      <c r="H80" s="12">
        <f>IFERROR(G80/F80,"")</f>
        <v>0.2161705612858642</v>
      </c>
    </row>
    <row r="81" spans="1:11">
      <c r="B81" s="5" t="s">
        <v>20</v>
      </c>
      <c r="E81" s="16">
        <f>IFERROR((E80-('V25'!E80))/('V25'!E80),"")</f>
        <v>-0.125</v>
      </c>
      <c r="F81" s="16">
        <f>IFERROR((F80-('V25'!F80))/('V25'!F80),"")</f>
        <v>-0.12443976335604165</v>
      </c>
      <c r="G81" s="16">
        <f>IFERROR((G80-('V25'!G80))/('V25'!G80),"")</f>
        <v>-0.12240232751454698</v>
      </c>
      <c r="H81" s="16">
        <f>IFERROR(H80-('V25'!H80),"")</f>
        <v>5.0186282763545198E-4</v>
      </c>
    </row>
    <row r="82" spans="1:11">
      <c r="B82" s="5" t="s">
        <v>21</v>
      </c>
      <c r="E82" s="13">
        <f>E80/$B$112</f>
        <v>2.715132709037513E-3</v>
      </c>
      <c r="F82" s="13">
        <f>F80/$B$112</f>
        <v>8.659832659167728E-2</v>
      </c>
      <c r="G82" s="13">
        <f>G80/$B$112</f>
        <v>1.8720008865739456E-2</v>
      </c>
    </row>
    <row r="83" spans="1:11">
      <c r="B83" s="5" t="s">
        <v>22</v>
      </c>
      <c r="E83" s="8">
        <f>IFERROR((E82-'V25'!E82)/'V25'!E82,"")</f>
        <v>-0.10633346262536715</v>
      </c>
      <c r="F83" s="8">
        <f>IFERROR((F82-'V25'!F82)/'V25'!F82,"")</f>
        <v>-0.1057612743491195</v>
      </c>
      <c r="G83" s="8">
        <f>IFERROR((G82-'V25'!G82)/'V25'!G82,"")</f>
        <v>-0.10368037351072931</v>
      </c>
    </row>
    <row r="84" spans="1:11">
      <c r="B84" s="5" t="s">
        <v>23</v>
      </c>
      <c r="E84" s="18">
        <f>(E82 / AVERAGE('V25'!E82)) * 100</f>
        <v>89.366653737463281</v>
      </c>
      <c r="F84" s="18">
        <f>(F82 / AVERAGE('V25'!F82)) * 100</f>
        <v>89.423872565088047</v>
      </c>
      <c r="G84" s="18">
        <f>(G82 / AVERAGE('V25'!G82)) * 100</f>
        <v>89.631962648927072</v>
      </c>
      <c r="H84" s="14">
        <f>IFERROR((G84*0.6)+(F84*0.4),"")</f>
        <v>89.548726615391473</v>
      </c>
    </row>
    <row r="85" spans="1:11">
      <c r="A85" s="1">
        <v>9</v>
      </c>
      <c r="C85" s="2" t="s">
        <v>73</v>
      </c>
      <c r="D85" s="2" t="s">
        <v>5</v>
      </c>
      <c r="E85" s="2" t="s">
        <v>6</v>
      </c>
      <c r="F85" s="2" t="s">
        <v>7</v>
      </c>
      <c r="G85" s="2" t="s">
        <v>8</v>
      </c>
      <c r="H85" s="2" t="s">
        <v>9</v>
      </c>
      <c r="I85" s="2" t="s">
        <v>10</v>
      </c>
      <c r="J85" s="2" t="s">
        <v>11</v>
      </c>
      <c r="K85" s="2" t="s">
        <v>12</v>
      </c>
    </row>
    <row r="86" spans="1:11">
      <c r="B86" s="6" t="s">
        <v>74</v>
      </c>
      <c r="C86" s="2" t="s">
        <v>75</v>
      </c>
      <c r="D86" s="5" t="s">
        <v>76</v>
      </c>
      <c r="E86" s="7">
        <v>200</v>
      </c>
      <c r="F86" s="7">
        <v>7200</v>
      </c>
      <c r="G86" s="7">
        <v>1204</v>
      </c>
      <c r="H86" s="8">
        <f>IFERROR(G86/F86,"")</f>
        <v>0.16722222222222222</v>
      </c>
      <c r="I86" s="18">
        <f>IFERROR(((E86/$B$112) / AVERAGE('V25'!E86/'V25'!$B$112)) * 100,"")</f>
        <v>94.13209083603769</v>
      </c>
      <c r="J86" s="18">
        <f>IFERROR(((F86/$B$112) / AVERAGE('V25'!F86/'V25'!$B$112)) * 100,"")</f>
        <v>94.132090836037705</v>
      </c>
      <c r="K86" s="18">
        <f>IFERROR(((G86/$B$112) / AVERAGE('V25'!G86/'V25'!$B$112)) * 100,"")</f>
        <v>87.221610638618216</v>
      </c>
    </row>
    <row r="87" spans="1:11">
      <c r="C87" s="2" t="s">
        <v>77</v>
      </c>
    </row>
    <row r="88" spans="1:11">
      <c r="C88" s="2" t="s">
        <v>78</v>
      </c>
    </row>
    <row r="89" spans="1:11">
      <c r="C89" s="2" t="s">
        <v>79</v>
      </c>
    </row>
    <row r="90" spans="1:11">
      <c r="C90" s="9" t="s">
        <v>19</v>
      </c>
      <c r="D90" s="10"/>
      <c r="E90" s="11">
        <f>SUM(E86:E89)</f>
        <v>200</v>
      </c>
      <c r="F90" s="11">
        <f>SUM(F86:F89)</f>
        <v>7200</v>
      </c>
      <c r="G90" s="11">
        <f>SUM(G86:G89)</f>
        <v>1204</v>
      </c>
      <c r="H90" s="12">
        <f>IFERROR(G90/F90,"")</f>
        <v>0.16722222222222222</v>
      </c>
    </row>
    <row r="91" spans="1:11">
      <c r="B91" s="5" t="s">
        <v>20</v>
      </c>
      <c r="E91" s="16">
        <f>IFERROR((E90-('V25'!E90))/('V25'!E90),"")</f>
        <v>-7.8341013824884786E-2</v>
      </c>
      <c r="F91" s="16">
        <f>IFERROR((F90-('V25'!F90))/('V25'!F90),"")</f>
        <v>-7.8341013824884786E-2</v>
      </c>
      <c r="G91" s="16">
        <f>IFERROR((G90-('V25'!G90))/('V25'!G90),"")</f>
        <v>-0.14600238324916298</v>
      </c>
      <c r="H91" s="16">
        <f>IFERROR(H90-('V25'!H90),"")</f>
        <v>-1.3248847926267265E-2</v>
      </c>
    </row>
    <row r="92" spans="1:11">
      <c r="B92" s="5" t="s">
        <v>21</v>
      </c>
      <c r="E92" s="13">
        <f>E90/$B$112</f>
        <v>1.1082174322602095E-2</v>
      </c>
      <c r="F92" s="13">
        <f>F90/$B$112</f>
        <v>0.39895827561367542</v>
      </c>
      <c r="G92" s="13">
        <f>G90/$B$112</f>
        <v>6.6714689422064613E-2</v>
      </c>
    </row>
    <row r="93" spans="1:11">
      <c r="B93" s="5" t="s">
        <v>22</v>
      </c>
      <c r="E93" s="8">
        <f>IFERROR((E92-'V25'!E92)/'V25'!E92,"")</f>
        <v>-5.8679091639622996E-2</v>
      </c>
      <c r="F93" s="8">
        <f>IFERROR((F92-'V25'!F92)/'V25'!F92,"")</f>
        <v>-5.8679091639622982E-2</v>
      </c>
      <c r="G93" s="8">
        <f>IFERROR((G92-'V25'!G92)/'V25'!G92,"")</f>
        <v>-0.12778389361381784</v>
      </c>
    </row>
    <row r="94" spans="1:11">
      <c r="B94" s="5" t="s">
        <v>23</v>
      </c>
      <c r="E94" s="18">
        <f>(E92 / AVERAGE('V25'!E92)) * 100</f>
        <v>94.13209083603769</v>
      </c>
      <c r="F94" s="18">
        <f>(F92 / AVERAGE('V25'!F92)) * 100</f>
        <v>94.132090836037705</v>
      </c>
      <c r="G94" s="18">
        <f>(G92 / AVERAGE('V25'!G92)) * 100</f>
        <v>87.221610638618216</v>
      </c>
      <c r="H94" s="14">
        <f>IFERROR((G94*0.6)+(F94*0.4),"")</f>
        <v>89.985802717586012</v>
      </c>
    </row>
    <row r="95" spans="1:11">
      <c r="A95" s="1">
        <v>10</v>
      </c>
      <c r="C95" s="2" t="s">
        <v>80</v>
      </c>
      <c r="D95" s="2" t="s">
        <v>5</v>
      </c>
      <c r="E95" s="2" t="s">
        <v>6</v>
      </c>
      <c r="F95" s="2" t="s">
        <v>7</v>
      </c>
      <c r="G95" s="2" t="s">
        <v>8</v>
      </c>
      <c r="H95" s="2" t="s">
        <v>9</v>
      </c>
      <c r="I95" s="2" t="s">
        <v>10</v>
      </c>
      <c r="J95" s="2" t="s">
        <v>11</v>
      </c>
      <c r="K95" s="2" t="s">
        <v>12</v>
      </c>
    </row>
    <row r="96" spans="1:11">
      <c r="B96" s="6" t="s">
        <v>81</v>
      </c>
      <c r="C96" s="2" t="s">
        <v>82</v>
      </c>
      <c r="D96" s="5" t="s">
        <v>83</v>
      </c>
      <c r="E96" s="7">
        <v>201</v>
      </c>
      <c r="F96" s="7">
        <v>7234.2</v>
      </c>
      <c r="G96" s="7">
        <v>1208.22</v>
      </c>
      <c r="H96" s="8">
        <f>IFERROR(G96/F96,"")</f>
        <v>0.16701501202620886</v>
      </c>
      <c r="I96" s="18">
        <f>IFERROR(((E96/$B$112) / AVERAGE('V25'!E96/'V25'!$B$112)) * 100,"")</f>
        <v>62.971770030605157</v>
      </c>
      <c r="J96" s="18">
        <f>IFERROR(((F96/$B$112) / AVERAGE('V25'!F96/'V25'!$B$112)) * 100,"")</f>
        <v>62.975423025619605</v>
      </c>
      <c r="K96" s="18">
        <f>IFERROR(((G96/$B$112) / AVERAGE('V25'!G96/'V25'!$B$112)) * 100,"")</f>
        <v>58.554781745954976</v>
      </c>
    </row>
    <row r="97" spans="2:8">
      <c r="C97" s="2" t="s">
        <v>84</v>
      </c>
    </row>
    <row r="98" spans="2:8">
      <c r="C98" s="2" t="s">
        <v>85</v>
      </c>
    </row>
    <row r="99" spans="2:8">
      <c r="C99" s="2" t="s">
        <v>86</v>
      </c>
    </row>
    <row r="100" spans="2:8">
      <c r="C100" s="9" t="s">
        <v>19</v>
      </c>
      <c r="D100" s="10"/>
      <c r="E100" s="11">
        <f>SUM(E96:E99)</f>
        <v>201</v>
      </c>
      <c r="F100" s="11">
        <f>SUM(F96:F99)</f>
        <v>7234.2</v>
      </c>
      <c r="G100" s="11">
        <f>SUM(G96:G99)</f>
        <v>1208.22</v>
      </c>
      <c r="H100" s="12">
        <f>IFERROR(G100/F100,"")</f>
        <v>0.16701501202620886</v>
      </c>
    </row>
    <row r="101" spans="2:8">
      <c r="B101" s="5" t="s">
        <v>20</v>
      </c>
      <c r="E101" s="16">
        <f>IFERROR((E100-('V25'!E100))/('V25'!E100),"")</f>
        <v>-0.3834355828220859</v>
      </c>
      <c r="F101" s="16">
        <f>IFERROR((F100-('V25'!F100))/('V25'!F100),"")</f>
        <v>-0.38339981589444616</v>
      </c>
      <c r="G101" s="16">
        <f>IFERROR((G100-('V25'!G100))/('V25'!G100),"")</f>
        <v>-0.42668286340644013</v>
      </c>
      <c r="H101" s="16">
        <f>IFERROR(H100-('V25'!H100),"")</f>
        <v>-1.2608935333240201E-2</v>
      </c>
    </row>
    <row r="102" spans="2:8">
      <c r="B102" s="5" t="s">
        <v>21</v>
      </c>
      <c r="E102" s="13">
        <f>E100/$B$112</f>
        <v>1.1137585194215104E-2</v>
      </c>
      <c r="F102" s="13">
        <f>F100/$B$112</f>
        <v>0.40085332742284036</v>
      </c>
      <c r="G102" s="13">
        <f>G100/$B$112</f>
        <v>6.6948523300271512E-2</v>
      </c>
    </row>
    <row r="103" spans="2:8">
      <c r="B103" s="5" t="s">
        <v>22</v>
      </c>
      <c r="E103" s="8">
        <f>IFERROR((E102-'V25'!E102)/'V25'!E102,"")</f>
        <v>-0.37028229969394844</v>
      </c>
      <c r="F103" s="8">
        <f>IFERROR((F102-'V25'!F102)/'V25'!F102,"")</f>
        <v>-0.37024576974380402</v>
      </c>
      <c r="G103" s="8">
        <f>IFERROR((G102-'V25'!G102)/'V25'!G102,"")</f>
        <v>-0.41445218254045019</v>
      </c>
    </row>
    <row r="104" spans="2:8">
      <c r="B104" s="5" t="s">
        <v>23</v>
      </c>
      <c r="E104" s="18">
        <f>(E102 / AVERAGE('V25'!E102)) * 100</f>
        <v>62.971770030605157</v>
      </c>
      <c r="F104" s="18">
        <f>(F102 / AVERAGE('V25'!F102)) * 100</f>
        <v>62.975423025619605</v>
      </c>
      <c r="G104" s="18">
        <f>(G102 / AVERAGE('V25'!G102)) * 100</f>
        <v>58.554781745954976</v>
      </c>
      <c r="H104" s="14">
        <f>IFERROR((G104*0.6)+(F104*0.4),"")</f>
        <v>60.323038257820826</v>
      </c>
    </row>
    <row r="106" spans="2:8">
      <c r="B106" s="2" t="s">
        <v>87</v>
      </c>
      <c r="E106" s="15">
        <f>E10+E20+E30+E40+E50+E60+E70+E80+E90+E100</f>
        <v>2150</v>
      </c>
      <c r="F106" s="15">
        <f>F10+F20+F30+F40+F50+F60+F70+F80+F90+F100</f>
        <v>78019.08</v>
      </c>
      <c r="G106" s="15">
        <f>G10+G20+G30+G40+G50+G60+G70+G80+G90+G100</f>
        <v>12993.88</v>
      </c>
      <c r="H106" s="16">
        <f>IFERROR(G106/F106,"")</f>
        <v>0.16654746505598372</v>
      </c>
    </row>
    <row r="107" spans="2:8">
      <c r="B107" s="5" t="s">
        <v>88</v>
      </c>
      <c r="E107" s="16">
        <f>IFERROR((E106-'V25'!E106)/'V25'!E106,"")</f>
        <v>-0.1650485436893204</v>
      </c>
      <c r="F107" s="16">
        <f>IFERROR((F106-'V25'!F106)/'V25'!F106,"")</f>
        <v>-0.12372119853710713</v>
      </c>
      <c r="G107" s="16">
        <f>IFERROR((G106-'V25'!G106)/'V25'!G106,"")</f>
        <v>-0.16220459444176857</v>
      </c>
      <c r="H107" s="16">
        <f>IFERROR(H106-'V25'!H106,"")</f>
        <v>-7.650211486176145E-3</v>
      </c>
    </row>
    <row r="108" spans="2:8">
      <c r="B108" s="5" t="s">
        <v>21</v>
      </c>
      <c r="E108" s="13">
        <f>E106/$B$112</f>
        <v>0.11913337396797252</v>
      </c>
      <c r="F108" s="13">
        <f>F106/$B$112</f>
        <v>4.3231052252451931</v>
      </c>
      <c r="G108" s="13">
        <f>G106/$B$112</f>
        <v>0.72000221643486451</v>
      </c>
    </row>
    <row r="109" spans="2:8">
      <c r="B109" s="5" t="s">
        <v>22</v>
      </c>
      <c r="E109" s="8">
        <f>IFERROR((E108-'V25'!E108)/'V25'!E108,"")</f>
        <v>-0.14723636932906031</v>
      </c>
      <c r="F109" s="8">
        <f>IFERROR((F108-'V25'!F108)/'V25'!F108,"")</f>
        <v>-0.10502738025355784</v>
      </c>
      <c r="G109" s="8">
        <f>IFERROR((G108-'V25'!G108)/'V25'!G108,"")</f>
        <v>-0.14433174958445605</v>
      </c>
    </row>
    <row r="110" spans="2:8">
      <c r="B110" s="5" t="s">
        <v>23</v>
      </c>
      <c r="E110" s="18">
        <f>IFERROR((E108 / AVERAGE('V25'!E108)) * 100,"")</f>
        <v>85.276363067093968</v>
      </c>
      <c r="F110" s="18">
        <f>IFERROR((F108 / AVERAGE('V25'!F108)) * 100,"")</f>
        <v>89.497261974644218</v>
      </c>
      <c r="G110" s="18">
        <f>IFERROR((G108 / AVERAGE('V25'!G108)) * 100,"")</f>
        <v>85.566825041554395</v>
      </c>
      <c r="H110" s="14">
        <f>IFERROR((G110*0.6)+(F110*0.4),"")</f>
        <v>87.138999814790324</v>
      </c>
    </row>
    <row r="111" spans="2:8">
      <c r="B111" s="5" t="s">
        <v>89</v>
      </c>
      <c r="C111" s="5" t="s">
        <v>90</v>
      </c>
      <c r="D111" s="5" t="s">
        <v>91</v>
      </c>
    </row>
    <row r="112" spans="2:8">
      <c r="B112" s="17">
        <v>18047</v>
      </c>
      <c r="C112" s="17">
        <f>B112-'V25'!$B$112</f>
        <v>-385</v>
      </c>
      <c r="D112" s="19">
        <f>C112/'V25'!$B$112</f>
        <v>-2.0887586805555556E-2</v>
      </c>
    </row>
  </sheetData>
  <conditionalFormatting sqref="E11:G11">
    <cfRule type="cellIs" dxfId="373" priority="1" operator="lessThan">
      <formula>0</formula>
    </cfRule>
    <cfRule type="cellIs" dxfId="372" priority="2" operator="greaterThan">
      <formula>0</formula>
    </cfRule>
  </conditionalFormatting>
  <conditionalFormatting sqref="E21:G21">
    <cfRule type="cellIs" dxfId="371" priority="3" operator="lessThan">
      <formula>0</formula>
    </cfRule>
    <cfRule type="cellIs" dxfId="370" priority="4" operator="greaterThan">
      <formula>0</formula>
    </cfRule>
  </conditionalFormatting>
  <conditionalFormatting sqref="E31:G31">
    <cfRule type="cellIs" dxfId="369" priority="5" operator="lessThan">
      <formula>0</formula>
    </cfRule>
    <cfRule type="cellIs" dxfId="368" priority="6" operator="greaterThan">
      <formula>0</formula>
    </cfRule>
  </conditionalFormatting>
  <conditionalFormatting sqref="E41:G41">
    <cfRule type="cellIs" dxfId="367" priority="7" operator="lessThan">
      <formula>0</formula>
    </cfRule>
    <cfRule type="cellIs" dxfId="366" priority="8" operator="greaterThan">
      <formula>0</formula>
    </cfRule>
  </conditionalFormatting>
  <conditionalFormatting sqref="E51:G51">
    <cfRule type="cellIs" dxfId="365" priority="9" operator="lessThan">
      <formula>0</formula>
    </cfRule>
    <cfRule type="cellIs" dxfId="364" priority="10" operator="greaterThan">
      <formula>0</formula>
    </cfRule>
  </conditionalFormatting>
  <conditionalFormatting sqref="E61:G61">
    <cfRule type="cellIs" dxfId="363" priority="11" operator="lessThan">
      <formula>0</formula>
    </cfRule>
    <cfRule type="cellIs" dxfId="362" priority="12" operator="greaterThan">
      <formula>0</formula>
    </cfRule>
  </conditionalFormatting>
  <conditionalFormatting sqref="E71:G71">
    <cfRule type="cellIs" dxfId="361" priority="13" operator="lessThan">
      <formula>0</formula>
    </cfRule>
    <cfRule type="cellIs" dxfId="360" priority="14" operator="greaterThan">
      <formula>0</formula>
    </cfRule>
  </conditionalFormatting>
  <conditionalFormatting sqref="E81:G81">
    <cfRule type="cellIs" dxfId="359" priority="15" operator="lessThan">
      <formula>0</formula>
    </cfRule>
    <cfRule type="cellIs" dxfId="358" priority="16" operator="greaterThan">
      <formula>0</formula>
    </cfRule>
  </conditionalFormatting>
  <conditionalFormatting sqref="E91:G91">
    <cfRule type="cellIs" dxfId="357" priority="17" operator="lessThan">
      <formula>0</formula>
    </cfRule>
    <cfRule type="cellIs" dxfId="356" priority="18" operator="greaterThan">
      <formula>0</formula>
    </cfRule>
  </conditionalFormatting>
  <conditionalFormatting sqref="E101:G101">
    <cfRule type="cellIs" dxfId="355" priority="19" operator="lessThan">
      <formula>0</formula>
    </cfRule>
    <cfRule type="cellIs" dxfId="354" priority="20" operator="greaterThan">
      <formula>0</formula>
    </cfRule>
  </conditionalFormatting>
  <conditionalFormatting sqref="E107:G107">
    <cfRule type="cellIs" dxfId="353" priority="21" operator="lessThan">
      <formula>0</formula>
    </cfRule>
    <cfRule type="cellIs" dxfId="352" priority="22" operator="greaterThan">
      <formula>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2"/>
  <sheetViews>
    <sheetView zoomScaleNormal="100" zoomScaleSheetLayoutView="100" workbookViewId="0"/>
  </sheetViews>
  <sheetFormatPr defaultRowHeight="15"/>
  <cols>
    <col min="2" max="2" width="16" customWidth="1"/>
    <col min="4" max="4" width="26" customWidth="1"/>
    <col min="5" max="5" width="10" customWidth="1"/>
    <col min="6" max="7" width="12" customWidth="1"/>
    <col min="8" max="8" width="10" customWidth="1"/>
    <col min="9" max="11" width="12" customWidth="1"/>
  </cols>
  <sheetData>
    <row r="1" spans="1:11">
      <c r="A1" s="1" t="s">
        <v>0</v>
      </c>
    </row>
    <row r="3" spans="1:11">
      <c r="C3" s="2" t="s">
        <v>94</v>
      </c>
    </row>
    <row r="4" spans="1:11">
      <c r="C4" s="3" t="s">
        <v>95</v>
      </c>
      <c r="I4" s="4">
        <v>27</v>
      </c>
      <c r="J4" s="5" t="s">
        <v>3</v>
      </c>
    </row>
    <row r="5" spans="1:11">
      <c r="A5" s="1">
        <v>1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</row>
    <row r="6" spans="1:11">
      <c r="B6" s="6" t="s">
        <v>96</v>
      </c>
      <c r="C6" s="2" t="s">
        <v>14</v>
      </c>
      <c r="D6" s="5" t="s">
        <v>97</v>
      </c>
      <c r="E6" s="7">
        <v>80</v>
      </c>
      <c r="F6" s="7">
        <v>5670.4</v>
      </c>
      <c r="G6" s="7">
        <v>918.4</v>
      </c>
      <c r="H6" s="8">
        <f>IFERROR(G6/F6,"")</f>
        <v>0.16196388261851016</v>
      </c>
      <c r="I6" s="18">
        <f>IFERROR(((E6/$B$112) / AVERAGE('V25'!E6/'V25'!$B$112, 'V26'!E6/'V26'!$B$112)) * 100,"")</f>
        <v>44.419338625677113</v>
      </c>
      <c r="J6" s="18">
        <f>IFERROR(((F6/$B$112) / AVERAGE('V25'!F6/'V25'!$B$112, 'V26'!F6/'V26'!$B$112)) * 100,"")</f>
        <v>43.765481426916729</v>
      </c>
      <c r="K6" s="18">
        <f>IFERROR(((G6/$B$112) / AVERAGE('V25'!G6/'V25'!$B$112, 'V26'!G6/'V26'!$B$112)) * 100,"")</f>
        <v>28.426080974356712</v>
      </c>
    </row>
    <row r="7" spans="1:11">
      <c r="C7" s="2" t="s">
        <v>16</v>
      </c>
    </row>
    <row r="8" spans="1:11">
      <c r="C8" s="2" t="s">
        <v>17</v>
      </c>
    </row>
    <row r="9" spans="1:11">
      <c r="C9" s="2" t="s">
        <v>18</v>
      </c>
    </row>
    <row r="10" spans="1:11">
      <c r="C10" s="9" t="s">
        <v>19</v>
      </c>
      <c r="D10" s="10"/>
      <c r="E10" s="11">
        <f>SUM(E6:E9)</f>
        <v>80</v>
      </c>
      <c r="F10" s="11">
        <f>SUM(F6:F9)</f>
        <v>5670.4</v>
      </c>
      <c r="G10" s="11">
        <f>SUM(G6:G9)</f>
        <v>918.4</v>
      </c>
      <c r="H10" s="12">
        <f>IFERROR(G10/F10,"")</f>
        <v>0.16196388261851016</v>
      </c>
    </row>
    <row r="11" spans="1:11">
      <c r="B11" s="5" t="s">
        <v>20</v>
      </c>
      <c r="E11" s="16">
        <f>IFERROR((E10-('V26'!E10))/('V26'!E10),"")</f>
        <v>-0.53488372093023251</v>
      </c>
      <c r="F11" s="16">
        <f>IFERROR((F10-('V26'!F10))/('V26'!F10),"")</f>
        <v>-0.54173105147120626</v>
      </c>
      <c r="G11" s="16">
        <f>IFERROR((G10-('V26'!G10))/('V26'!G10),"")</f>
        <v>-0.70235162954704555</v>
      </c>
      <c r="H11" s="16">
        <f>IFERROR(H10-('V26'!H10),"")</f>
        <v>-8.7400889895697581E-2</v>
      </c>
    </row>
    <row r="12" spans="1:11">
      <c r="B12" s="5" t="s">
        <v>21</v>
      </c>
      <c r="E12" s="13">
        <f>E10/$B$112</f>
        <v>4.1651481230801273E-3</v>
      </c>
      <c r="F12" s="13">
        <f>F10/$B$112</f>
        <v>0.29522569896391937</v>
      </c>
      <c r="G12" s="13">
        <f>G10/$B$112</f>
        <v>4.7815900452959859E-2</v>
      </c>
    </row>
    <row r="13" spans="1:11">
      <c r="B13" s="5" t="s">
        <v>22</v>
      </c>
      <c r="E13" s="8">
        <f>IFERROR((E12-'V26'!E12)/'V26'!E12,"")</f>
        <v>-0.56297425478356367</v>
      </c>
      <c r="F13" s="8">
        <f>IFERROR((F12-'V26'!F12)/'V26'!F12,"")</f>
        <v>-0.56940804320825011</v>
      </c>
      <c r="G13" s="8">
        <f>IFERROR((G12-'V26'!G12)/'V26'!G12,"")</f>
        <v>-0.72032799804423031</v>
      </c>
    </row>
    <row r="14" spans="1:11">
      <c r="B14" s="5" t="s">
        <v>23</v>
      </c>
      <c r="E14" s="18">
        <f>(E12 / AVERAGE('V25'!E12,'V26'!E12)) * 100</f>
        <v>44.419338625677113</v>
      </c>
      <c r="F14" s="18">
        <f>(F12 / AVERAGE('V25'!F12,'V26'!F12)) * 100</f>
        <v>43.765481426916729</v>
      </c>
      <c r="G14" s="18">
        <f>(G12 / AVERAGE('V25'!G12,'V26'!G12)) * 100</f>
        <v>28.426080974356712</v>
      </c>
      <c r="H14" s="14">
        <f>IFERROR((G14*0.6)+(F14*0.4),"")</f>
        <v>34.561841155380719</v>
      </c>
    </row>
    <row r="15" spans="1:11">
      <c r="A15" s="1">
        <v>2</v>
      </c>
      <c r="C15" s="2" t="s">
        <v>24</v>
      </c>
      <c r="D15" s="2" t="s">
        <v>5</v>
      </c>
      <c r="E15" s="2" t="s">
        <v>6</v>
      </c>
      <c r="F15" s="2" t="s">
        <v>7</v>
      </c>
      <c r="G15" s="2" t="s">
        <v>8</v>
      </c>
      <c r="H15" s="2" t="s">
        <v>9</v>
      </c>
      <c r="I15" s="2" t="s">
        <v>10</v>
      </c>
      <c r="J15" s="2" t="s">
        <v>11</v>
      </c>
      <c r="K15" s="2" t="s">
        <v>12</v>
      </c>
    </row>
    <row r="16" spans="1:11">
      <c r="B16" s="6" t="s">
        <v>25</v>
      </c>
      <c r="C16" s="2" t="s">
        <v>26</v>
      </c>
      <c r="D16" s="5" t="s">
        <v>27</v>
      </c>
      <c r="E16" s="7">
        <v>180</v>
      </c>
      <c r="F16" s="7">
        <v>3590.81</v>
      </c>
      <c r="G16" s="7">
        <v>719.81</v>
      </c>
      <c r="H16" s="8">
        <f>IFERROR(G16/F16,"")</f>
        <v>0.20045894937353967</v>
      </c>
      <c r="I16" s="18">
        <f>IFERROR(((E16/$B$112) / AVERAGE('V25'!E16/'V25'!$B$112, 'V26'!E16/'V26'!$B$112)) * 100,"")</f>
        <v>111.67765196256161</v>
      </c>
      <c r="J16" s="18">
        <f>IFERROR(((F16/$B$112) / AVERAGE('V25'!F16/'V25'!$B$112, 'V26'!F16/'V26'!$B$112)) * 100,"")</f>
        <v>108.84505205499504</v>
      </c>
      <c r="K16" s="18">
        <f>IFERROR(((G16/$B$112) / AVERAGE('V25'!G16/'V25'!$B$112, 'V26'!G16/'V26'!$B$112)) * 100,"")</f>
        <v>101.60107454613296</v>
      </c>
    </row>
    <row r="17" spans="1:11">
      <c r="C17" s="2" t="s">
        <v>28</v>
      </c>
    </row>
    <row r="18" spans="1:11">
      <c r="C18" s="2" t="s">
        <v>29</v>
      </c>
    </row>
    <row r="19" spans="1:11">
      <c r="C19" s="2" t="s">
        <v>30</v>
      </c>
    </row>
    <row r="20" spans="1:11">
      <c r="C20" s="9" t="s">
        <v>19</v>
      </c>
      <c r="D20" s="10"/>
      <c r="E20" s="11">
        <f>SUM(E16:E19)</f>
        <v>180</v>
      </c>
      <c r="F20" s="11">
        <f>SUM(F16:F19)</f>
        <v>3590.81</v>
      </c>
      <c r="G20" s="11">
        <f>SUM(G16:G19)</f>
        <v>719.81</v>
      </c>
      <c r="H20" s="12">
        <f>IFERROR(G20/F20,"")</f>
        <v>0.20045894937353967</v>
      </c>
    </row>
    <row r="21" spans="1:11">
      <c r="B21" s="5" t="s">
        <v>20</v>
      </c>
      <c r="E21" s="16">
        <f>IFERROR((E20-('V26'!E20))/('V26'!E20),"")</f>
        <v>0.1464968152866242</v>
      </c>
      <c r="F21" s="16">
        <f>IFERROR((F20-('V26'!F20))/('V26'!F20),"")</f>
        <v>0.14586178726880519</v>
      </c>
      <c r="G21" s="16">
        <f>IFERROR((G20-('V26'!G20))/('V26'!G20),"")</f>
        <v>0.14333592769668169</v>
      </c>
      <c r="H21" s="16">
        <f>IFERROR(H20-('V26'!H20),"")</f>
        <v>-4.4285423367479426E-4</v>
      </c>
    </row>
    <row r="22" spans="1:11">
      <c r="B22" s="5" t="s">
        <v>21</v>
      </c>
      <c r="E22" s="13">
        <f>E20/$B$112</f>
        <v>9.3715832769302853E-3</v>
      </c>
      <c r="F22" s="13">
        <f>F20/$B$112</f>
        <v>0.18695319414796688</v>
      </c>
      <c r="G22" s="13">
        <f>G20/$B$112</f>
        <v>3.7476440880928823E-2</v>
      </c>
    </row>
    <row r="23" spans="1:11">
      <c r="B23" s="5" t="s">
        <v>22</v>
      </c>
      <c r="E23" s="8">
        <f>IFERROR((E22-'V26'!E22)/'V26'!E22,"")</f>
        <v>7.725454394115186E-2</v>
      </c>
      <c r="F23" s="8">
        <f>IFERROR((F22-'V26'!F22)/'V26'!F22,"")</f>
        <v>7.6657868216802524E-2</v>
      </c>
      <c r="G23" s="8">
        <f>IFERROR((G22-'V26'!G22)/'V26'!G22,"")</f>
        <v>7.428455704389092E-2</v>
      </c>
    </row>
    <row r="24" spans="1:11">
      <c r="B24" s="5" t="s">
        <v>23</v>
      </c>
      <c r="E24" s="18">
        <f>(E22 / AVERAGE('V25'!E22,'V26'!E22)) * 100</f>
        <v>111.67765196256161</v>
      </c>
      <c r="F24" s="18">
        <f>(F22 / AVERAGE('V25'!F22,'V26'!F22)) * 100</f>
        <v>108.84505205499504</v>
      </c>
      <c r="G24" s="18">
        <f>(G22 / AVERAGE('V25'!G22,'V26'!G22)) * 100</f>
        <v>101.60107454613296</v>
      </c>
      <c r="H24" s="14">
        <f>IFERROR((G24*0.6)+(F24*0.4),"")</f>
        <v>104.4986655496778</v>
      </c>
    </row>
    <row r="25" spans="1:11">
      <c r="A25" s="1">
        <v>3</v>
      </c>
      <c r="C25" s="2" t="s">
        <v>31</v>
      </c>
      <c r="D25" s="2" t="s">
        <v>5</v>
      </c>
      <c r="E25" s="2" t="s">
        <v>6</v>
      </c>
      <c r="F25" s="2" t="s">
        <v>7</v>
      </c>
      <c r="G25" s="2" t="s">
        <v>8</v>
      </c>
      <c r="H25" s="2" t="s">
        <v>9</v>
      </c>
      <c r="I25" s="2" t="s">
        <v>10</v>
      </c>
      <c r="J25" s="2" t="s">
        <v>11</v>
      </c>
      <c r="K25" s="2" t="s">
        <v>12</v>
      </c>
    </row>
    <row r="26" spans="1:11">
      <c r="B26" s="6" t="s">
        <v>32</v>
      </c>
      <c r="C26" s="2" t="s">
        <v>33</v>
      </c>
      <c r="D26" s="5" t="s">
        <v>34</v>
      </c>
      <c r="E26" s="7">
        <v>518</v>
      </c>
      <c r="F26" s="7">
        <v>12237.04</v>
      </c>
      <c r="G26" s="7">
        <v>2668.18</v>
      </c>
      <c r="H26" s="8">
        <f>IFERROR(G26/F26,"")</f>
        <v>0.21804129103116437</v>
      </c>
      <c r="I26" s="18">
        <f>IFERROR(((E26/$B$112) / AVERAGE('V25'!E26/'V25'!$B$112, 'V26'!E26/'V26'!$B$112)) * 100,"")</f>
        <v>94.912550919507339</v>
      </c>
      <c r="J26" s="18">
        <f>IFERROR(((F26/$B$112) / AVERAGE('V25'!F26/'V25'!$B$112, 'V26'!F26/'V26'!$B$112)) * 100,"")</f>
        <v>94.905054848366291</v>
      </c>
      <c r="K26" s="18">
        <f>IFERROR(((G26/$B$112) / AVERAGE('V25'!G26/'V25'!$B$112, 'V26'!G26/'V26'!$B$112)) * 100,"")</f>
        <v>93.867579395976946</v>
      </c>
    </row>
    <row r="27" spans="1:11">
      <c r="C27" s="2" t="s">
        <v>35</v>
      </c>
    </row>
    <row r="28" spans="1:11">
      <c r="C28" s="2" t="s">
        <v>36</v>
      </c>
    </row>
    <row r="29" spans="1:11">
      <c r="C29" s="2" t="s">
        <v>37</v>
      </c>
    </row>
    <row r="30" spans="1:11">
      <c r="C30" s="9" t="s">
        <v>19</v>
      </c>
      <c r="D30" s="10"/>
      <c r="E30" s="11">
        <f>SUM(E26:E29)</f>
        <v>518</v>
      </c>
      <c r="F30" s="11">
        <f>SUM(F26:F29)</f>
        <v>12237.04</v>
      </c>
      <c r="G30" s="11">
        <f>SUM(G26:G29)</f>
        <v>2668.18</v>
      </c>
      <c r="H30" s="12">
        <f>IFERROR(G30/F30,"")</f>
        <v>0.21804129103116437</v>
      </c>
    </row>
    <row r="31" spans="1:11">
      <c r="B31" s="5" t="s">
        <v>20</v>
      </c>
      <c r="E31" s="16">
        <f>IFERROR((E30-('V26'!E30))/('V26'!E30),"")</f>
        <v>0.4757834757834758</v>
      </c>
      <c r="F31" s="16">
        <f>IFERROR((F30-('V26'!F30))/('V26'!F30),"")</f>
        <v>0.47587494482221321</v>
      </c>
      <c r="G31" s="16">
        <f>IFERROR((G30-('V26'!G30))/('V26'!G30),"")</f>
        <v>0.44693658420190663</v>
      </c>
      <c r="H31" s="16">
        <f>IFERROR(H30-('V26'!H30),"")</f>
        <v>-4.3607699044097004E-3</v>
      </c>
    </row>
    <row r="32" spans="1:11">
      <c r="B32" s="5" t="s">
        <v>21</v>
      </c>
      <c r="E32" s="13">
        <f>E30/$B$112</f>
        <v>2.6969334096943822E-2</v>
      </c>
      <c r="F32" s="13">
        <f>F30/$B$112</f>
        <v>0.63711355235070555</v>
      </c>
      <c r="G32" s="13">
        <f>G30/$B$112</f>
        <v>0.13891706148799915</v>
      </c>
    </row>
    <row r="33" spans="1:11">
      <c r="B33" s="5" t="s">
        <v>22</v>
      </c>
      <c r="E33" s="8">
        <f>IFERROR((E32-'V26'!E32)/'V26'!E32,"")</f>
        <v>0.38665405255710883</v>
      </c>
      <c r="F33" s="8">
        <f>IFERROR((F32-'V26'!F32)/'V26'!F32,"")</f>
        <v>0.38673999735546849</v>
      </c>
      <c r="G33" s="8">
        <f>IFERROR((G32-'V26'!G32)/'V26'!G32,"")</f>
        <v>0.35954935883229061</v>
      </c>
    </row>
    <row r="34" spans="1:11">
      <c r="B34" s="5" t="s">
        <v>23</v>
      </c>
      <c r="E34" s="18">
        <f>(E32 / AVERAGE('V25'!E32,'V26'!E32)) * 100</f>
        <v>94.912550919507339</v>
      </c>
      <c r="F34" s="18">
        <f>(F32 / AVERAGE('V25'!F32,'V26'!F32)) * 100</f>
        <v>94.905054848366291</v>
      </c>
      <c r="G34" s="18">
        <f>(G32 / AVERAGE('V25'!G32,'V26'!G32)) * 100</f>
        <v>93.867579395976946</v>
      </c>
      <c r="H34" s="14">
        <f>IFERROR((G34*0.6)+(F34*0.4),"")</f>
        <v>94.282569576932687</v>
      </c>
    </row>
    <row r="35" spans="1:11">
      <c r="A35" s="1">
        <v>4</v>
      </c>
      <c r="C35" s="2" t="s">
        <v>38</v>
      </c>
      <c r="D35" s="2" t="s">
        <v>5</v>
      </c>
      <c r="E35" s="2" t="s">
        <v>6</v>
      </c>
      <c r="F35" s="2" t="s">
        <v>7</v>
      </c>
      <c r="G35" s="2" t="s">
        <v>8</v>
      </c>
      <c r="H35" s="2" t="s">
        <v>9</v>
      </c>
      <c r="I35" s="2" t="s">
        <v>10</v>
      </c>
      <c r="J35" s="2" t="s">
        <v>11</v>
      </c>
      <c r="K35" s="2" t="s">
        <v>12</v>
      </c>
    </row>
    <row r="36" spans="1:11">
      <c r="B36" s="6" t="s">
        <v>39</v>
      </c>
      <c r="C36" s="2" t="s">
        <v>40</v>
      </c>
      <c r="D36" s="5" t="s">
        <v>41</v>
      </c>
      <c r="E36" s="7">
        <v>434</v>
      </c>
      <c r="F36" s="7">
        <v>10251.24</v>
      </c>
      <c r="G36" s="7">
        <v>2277.54</v>
      </c>
      <c r="H36" s="8">
        <f>IFERROR(G36/F36,"")</f>
        <v>0.22217214697929227</v>
      </c>
      <c r="I36" s="18">
        <f>IFERROR(((E36/$B$112) / AVERAGE('V25'!E36/'V25'!$B$112, 'V26'!E36/'V26'!$B$112)) * 100,"")</f>
        <v>80.460492542908469</v>
      </c>
      <c r="J36" s="18">
        <f>IFERROR(((F36/$B$112) / AVERAGE('V25'!F36/'V25'!$B$112, 'V26'!F36/'V26'!$B$112)) * 100,"")</f>
        <v>80.447591442440498</v>
      </c>
      <c r="K36" s="18">
        <f>IFERROR(((G36/$B$112) / AVERAGE('V25'!G36/'V25'!$B$112, 'V26'!G36/'V26'!$B$112)) * 100,"")</f>
        <v>80.295230564274291</v>
      </c>
    </row>
    <row r="37" spans="1:11">
      <c r="C37" s="2" t="s">
        <v>42</v>
      </c>
    </row>
    <row r="38" spans="1:11">
      <c r="C38" s="2" t="s">
        <v>43</v>
      </c>
    </row>
    <row r="39" spans="1:11">
      <c r="C39" s="2" t="s">
        <v>44</v>
      </c>
    </row>
    <row r="40" spans="1:11">
      <c r="C40" s="9" t="s">
        <v>19</v>
      </c>
      <c r="D40" s="10"/>
      <c r="E40" s="11">
        <f>SUM(E36:E39)</f>
        <v>434</v>
      </c>
      <c r="F40" s="11">
        <f>SUM(F36:F39)</f>
        <v>10251.24</v>
      </c>
      <c r="G40" s="11">
        <f>SUM(G36:G39)</f>
        <v>2277.54</v>
      </c>
      <c r="H40" s="12">
        <f>IFERROR(G40/F40,"")</f>
        <v>0.22217214697929227</v>
      </c>
    </row>
    <row r="41" spans="1:11">
      <c r="B41" s="5" t="s">
        <v>20</v>
      </c>
      <c r="E41" s="16">
        <f>IFERROR((E40-('V26'!E40))/('V26'!E40),"")</f>
        <v>-9.7713097713097719E-2</v>
      </c>
      <c r="F41" s="16">
        <f>IFERROR((F40-('V26'!F40))/('V26'!F40),"")</f>
        <v>-9.7934034835773495E-2</v>
      </c>
      <c r="G41" s="16">
        <f>IFERROR((G40-('V26'!G40))/('V26'!G40),"")</f>
        <v>-9.171611791730476E-2</v>
      </c>
      <c r="H41" s="16">
        <f>IFERROR(H40-('V26'!H40),"")</f>
        <v>1.5209429328938706E-3</v>
      </c>
    </row>
    <row r="42" spans="1:11">
      <c r="B42" s="5" t="s">
        <v>21</v>
      </c>
      <c r="E42" s="13">
        <f>E40/$B$112</f>
        <v>2.259592856770969E-2</v>
      </c>
      <c r="F42" s="13">
        <f>F40/$B$112</f>
        <v>0.53372416306554904</v>
      </c>
      <c r="G42" s="13">
        <f>G40/$B$112</f>
        <v>0.11857864320299891</v>
      </c>
    </row>
    <row r="43" spans="1:11">
      <c r="B43" s="5" t="s">
        <v>22</v>
      </c>
      <c r="E43" s="8">
        <f>IFERROR((E42-'V26'!E42)/'V26'!E42,"")</f>
        <v>-0.15220639737742872</v>
      </c>
      <c r="F43" s="8">
        <f>IFERROR((F42-'V26'!F42)/'V26'!F42,"")</f>
        <v>-0.15241399108039794</v>
      </c>
      <c r="G43" s="8">
        <f>IFERROR((G42-'V26'!G42)/'V26'!G42,"")</f>
        <v>-0.14657160306417452</v>
      </c>
    </row>
    <row r="44" spans="1:11">
      <c r="B44" s="5" t="s">
        <v>23</v>
      </c>
      <c r="E44" s="18">
        <f>(E42 / AVERAGE('V25'!E42,'V26'!E42)) * 100</f>
        <v>80.460492542908469</v>
      </c>
      <c r="F44" s="18">
        <f>(F42 / AVERAGE('V25'!F42,'V26'!F42)) * 100</f>
        <v>80.447591442440498</v>
      </c>
      <c r="G44" s="18">
        <f>(G42 / AVERAGE('V25'!G42,'V26'!G42)) * 100</f>
        <v>80.295230564274291</v>
      </c>
      <c r="H44" s="14">
        <f>IFERROR((G44*0.6)+(F44*0.4),"")</f>
        <v>80.356174915540777</v>
      </c>
    </row>
    <row r="45" spans="1:11">
      <c r="A45" s="1">
        <v>5</v>
      </c>
      <c r="C45" s="2" t="s">
        <v>45</v>
      </c>
      <c r="D45" s="2" t="s">
        <v>5</v>
      </c>
      <c r="E45" s="2" t="s">
        <v>6</v>
      </c>
      <c r="F45" s="2" t="s">
        <v>7</v>
      </c>
      <c r="G45" s="2" t="s">
        <v>8</v>
      </c>
      <c r="H45" s="2" t="s">
        <v>9</v>
      </c>
      <c r="I45" s="2" t="s">
        <v>10</v>
      </c>
      <c r="J45" s="2" t="s">
        <v>11</v>
      </c>
      <c r="K45" s="2" t="s">
        <v>12</v>
      </c>
    </row>
    <row r="46" spans="1:11">
      <c r="B46" s="6" t="s">
        <v>46</v>
      </c>
      <c r="C46" s="2" t="s">
        <v>47</v>
      </c>
      <c r="D46" s="5" t="s">
        <v>48</v>
      </c>
      <c r="E46" s="7">
        <v>248</v>
      </c>
      <c r="F46" s="7">
        <v>18019.84</v>
      </c>
      <c r="G46" s="7">
        <v>659.84</v>
      </c>
      <c r="H46" s="8">
        <f>IFERROR(G46/F46,"")</f>
        <v>3.6617417246768008E-2</v>
      </c>
      <c r="I46" s="18">
        <f>IFERROR(((E46/$B$112) / AVERAGE('V25'!E46/'V25'!$B$112, 'V26'!E46/'V26'!$B$112)) * 100,"")</f>
        <v>107.45327762785246</v>
      </c>
      <c r="J46" s="18">
        <f>IFERROR(((F46/$B$112) / AVERAGE('V25'!F46/'V25'!$B$112, 'V26'!F46/'V26'!$B$112)) * 100,"")</f>
        <v>108.51176135005416</v>
      </c>
      <c r="K46" s="18">
        <f>IFERROR(((G46/$B$112) / AVERAGE('V25'!G46/'V25'!$B$112, 'V26'!G46/'V26'!$B$112)) * 100,"")</f>
        <v>-266.15154430216813</v>
      </c>
    </row>
    <row r="47" spans="1:11">
      <c r="C47" s="2" t="s">
        <v>49</v>
      </c>
    </row>
    <row r="48" spans="1:11">
      <c r="C48" s="2" t="s">
        <v>50</v>
      </c>
    </row>
    <row r="49" spans="1:11">
      <c r="C49" s="2" t="s">
        <v>51</v>
      </c>
    </row>
    <row r="50" spans="1:11">
      <c r="C50" s="9" t="s">
        <v>19</v>
      </c>
      <c r="D50" s="10"/>
      <c r="E50" s="11">
        <f>SUM(E46:E49)</f>
        <v>248</v>
      </c>
      <c r="F50" s="11">
        <f>SUM(F46:F49)</f>
        <v>18019.84</v>
      </c>
      <c r="G50" s="11">
        <f>SUM(G46:G49)</f>
        <v>659.84</v>
      </c>
      <c r="H50" s="12">
        <f>IFERROR(G50/F50,"")</f>
        <v>3.6617417246768008E-2</v>
      </c>
    </row>
    <row r="51" spans="1:11">
      <c r="B51" s="5" t="s">
        <v>20</v>
      </c>
      <c r="E51" s="16">
        <f>IFERROR((E50-('V26'!E50))/('V26'!E50),"")</f>
        <v>6.4377682403433473E-2</v>
      </c>
      <c r="F51" s="16">
        <f>IFERROR((F50-('V26'!F50))/('V26'!F50),"")</f>
        <v>7.4741093645253553E-2</v>
      </c>
      <c r="G51" s="16">
        <f>IFERROR((G50-('V26'!G50))/('V26'!G50),"")</f>
        <v>-20.803121248499579</v>
      </c>
      <c r="H51" s="16">
        <f>IFERROR(H50-('V26'!H50),"")</f>
        <v>3.8604692008378516E-2</v>
      </c>
    </row>
    <row r="52" spans="1:11">
      <c r="B52" s="5" t="s">
        <v>21</v>
      </c>
      <c r="E52" s="13">
        <f>E50/$B$112</f>
        <v>1.2911959181548393E-2</v>
      </c>
      <c r="F52" s="13">
        <f>F50/$B$112</f>
        <v>0.93819128442755251</v>
      </c>
      <c r="G52" s="13">
        <f>G50/$B$112</f>
        <v>3.4354141719164892E-2</v>
      </c>
    </row>
    <row r="53" spans="1:11">
      <c r="B53" s="5" t="s">
        <v>22</v>
      </c>
      <c r="E53" s="8">
        <f>IFERROR((E52-'V26'!E52)/'V26'!E52,"")</f>
        <v>9.4967164823429997E-5</v>
      </c>
      <c r="F53" s="8">
        <f>IFERROR((F52-'V26'!F52)/'V26'!F52,"")</f>
        <v>9.832483834846294E-3</v>
      </c>
      <c r="G53" s="8">
        <f>IFERROR((G52-'V26'!G52)/'V26'!G52,"")</f>
        <v>-19.607118715659492</v>
      </c>
    </row>
    <row r="54" spans="1:11">
      <c r="B54" s="5" t="s">
        <v>23</v>
      </c>
      <c r="E54" s="18">
        <f>(E52 / AVERAGE('V25'!E52,'V26'!E52)) * 100</f>
        <v>107.45327762785246</v>
      </c>
      <c r="F54" s="18">
        <f>(F52 / AVERAGE('V25'!F52,'V26'!F52)) * 100</f>
        <v>108.51176135005416</v>
      </c>
      <c r="G54" s="18">
        <f>(G52 / AVERAGE('V25'!G52,'V26'!G52)) * 100</f>
        <v>-266.15154430216813</v>
      </c>
      <c r="H54" s="14">
        <f>IFERROR((G54*0.6)+(F54*0.4),"")</f>
        <v>-116.28622204127922</v>
      </c>
    </row>
    <row r="55" spans="1:11">
      <c r="A55" s="1">
        <v>6</v>
      </c>
      <c r="C55" s="2" t="s">
        <v>52</v>
      </c>
      <c r="D55" s="2" t="s">
        <v>5</v>
      </c>
      <c r="E55" s="2" t="s">
        <v>6</v>
      </c>
      <c r="F55" s="2" t="s">
        <v>7</v>
      </c>
      <c r="G55" s="2" t="s">
        <v>8</v>
      </c>
      <c r="H55" s="2" t="s">
        <v>9</v>
      </c>
      <c r="I55" s="2" t="s">
        <v>10</v>
      </c>
      <c r="J55" s="2" t="s">
        <v>11</v>
      </c>
      <c r="K55" s="2" t="s">
        <v>12</v>
      </c>
    </row>
    <row r="56" spans="1:11">
      <c r="B56" s="6" t="s">
        <v>53</v>
      </c>
      <c r="C56" s="2" t="s">
        <v>54</v>
      </c>
      <c r="D56" s="5" t="s">
        <v>55</v>
      </c>
      <c r="E56" s="7">
        <v>152</v>
      </c>
      <c r="F56" s="7">
        <v>6193.48</v>
      </c>
      <c r="G56" s="7">
        <v>1329.48</v>
      </c>
      <c r="H56" s="8">
        <f>IFERROR(G56/F56,"")</f>
        <v>0.21465799518203016</v>
      </c>
      <c r="I56" s="18">
        <f>IFERROR(((E56/$B$112) / AVERAGE('V25'!E56/'V25'!$B$112, 'V26'!E56/'V26'!$B$112)) * 100,"")</f>
        <v>75.385452383106539</v>
      </c>
      <c r="J56" s="18">
        <f>IFERROR(((F56/$B$112) / AVERAGE('V25'!F56/'V25'!$B$112, 'V26'!F56/'V26'!$B$112)) * 100,"")</f>
        <v>75.360630201455677</v>
      </c>
      <c r="K56" s="18">
        <f>IFERROR(((G56/$B$112) / AVERAGE('V25'!G56/'V25'!$B$112, 'V26'!G56/'V26'!$B$112)) * 100,"")</f>
        <v>75.269955565288171</v>
      </c>
    </row>
    <row r="57" spans="1:11">
      <c r="C57" s="2" t="s">
        <v>56</v>
      </c>
    </row>
    <row r="58" spans="1:11">
      <c r="C58" s="2" t="s">
        <v>57</v>
      </c>
    </row>
    <row r="59" spans="1:11">
      <c r="C59" s="2" t="s">
        <v>58</v>
      </c>
    </row>
    <row r="60" spans="1:11">
      <c r="C60" s="9" t="s">
        <v>19</v>
      </c>
      <c r="D60" s="10"/>
      <c r="E60" s="11">
        <f>SUM(E56:E59)</f>
        <v>152</v>
      </c>
      <c r="F60" s="11">
        <f>SUM(F56:F59)</f>
        <v>6193.48</v>
      </c>
      <c r="G60" s="11">
        <f>SUM(G56:G59)</f>
        <v>1329.48</v>
      </c>
      <c r="H60" s="12">
        <f>IFERROR(G60/F60,"")</f>
        <v>0.21465799518203016</v>
      </c>
    </row>
    <row r="61" spans="1:11">
      <c r="B61" s="5" t="s">
        <v>20</v>
      </c>
      <c r="E61" s="16">
        <f>IFERROR((E60-('V26'!E60))/('V26'!E60),"")</f>
        <v>-0.18716577540106952</v>
      </c>
      <c r="F61" s="16">
        <f>IFERROR((F60-('V26'!F60))/('V26'!F60),"")</f>
        <v>-0.18743341747440348</v>
      </c>
      <c r="G61" s="16">
        <f>IFERROR((G60-('V26'!G60))/('V26'!G60),"")</f>
        <v>-0.18841110541352277</v>
      </c>
      <c r="H61" s="16">
        <f>IFERROR(H60-('V26'!H60),"")</f>
        <v>-2.5858970511408175E-4</v>
      </c>
    </row>
    <row r="62" spans="1:11">
      <c r="B62" s="5" t="s">
        <v>21</v>
      </c>
      <c r="E62" s="13">
        <f>E60/$B$112</f>
        <v>7.9137814338522405E-3</v>
      </c>
      <c r="F62" s="13">
        <f>F60/$B$112</f>
        <v>0.32245951996667876</v>
      </c>
      <c r="G62" s="13">
        <f>G60/$B$112</f>
        <v>6.9218514083407096E-2</v>
      </c>
    </row>
    <row r="63" spans="1:11">
      <c r="B63" s="5" t="s">
        <v>22</v>
      </c>
      <c r="E63" s="8">
        <f>IFERROR((E62-'V26'!E62)/'V26'!E62,"")</f>
        <v>-0.23625661210304066</v>
      </c>
      <c r="F63" s="8">
        <f>IFERROR((F62-'V26'!F62)/'V26'!F62,"")</f>
        <v>-0.23650809002762335</v>
      </c>
      <c r="G63" s="8">
        <f>IFERROR((G62-'V26'!G62)/'V26'!G62,"")</f>
        <v>-0.23742673084801605</v>
      </c>
    </row>
    <row r="64" spans="1:11">
      <c r="B64" s="5" t="s">
        <v>23</v>
      </c>
      <c r="E64" s="18">
        <f>(E62 / AVERAGE('V25'!E62,'V26'!E62)) * 100</f>
        <v>75.385452383106539</v>
      </c>
      <c r="F64" s="18">
        <f>(F62 / AVERAGE('V25'!F62,'V26'!F62)) * 100</f>
        <v>75.360630201455677</v>
      </c>
      <c r="G64" s="18">
        <f>(G62 / AVERAGE('V25'!G62,'V26'!G62)) * 100</f>
        <v>75.269955565288171</v>
      </c>
      <c r="H64" s="14">
        <f>IFERROR((G64*0.6)+(F64*0.4),"")</f>
        <v>75.306225419755179</v>
      </c>
    </row>
    <row r="65" spans="1:11">
      <c r="A65" s="1">
        <v>7</v>
      </c>
      <c r="C65" s="2" t="s">
        <v>59</v>
      </c>
      <c r="D65" s="2" t="s">
        <v>5</v>
      </c>
      <c r="E65" s="2" t="s">
        <v>6</v>
      </c>
      <c r="F65" s="2" t="s">
        <v>7</v>
      </c>
      <c r="G65" s="2" t="s">
        <v>8</v>
      </c>
      <c r="H65" s="2" t="s">
        <v>9</v>
      </c>
      <c r="I65" s="2" t="s">
        <v>10</v>
      </c>
      <c r="J65" s="2" t="s">
        <v>11</v>
      </c>
      <c r="K65" s="2" t="s">
        <v>12</v>
      </c>
    </row>
    <row r="66" spans="1:11">
      <c r="B66" s="6" t="s">
        <v>60</v>
      </c>
      <c r="C66" s="2" t="s">
        <v>61</v>
      </c>
      <c r="D66" s="5" t="s">
        <v>62</v>
      </c>
      <c r="E66" s="7">
        <v>149</v>
      </c>
      <c r="F66" s="7">
        <v>3085.97</v>
      </c>
      <c r="G66" s="7">
        <v>709.42</v>
      </c>
      <c r="H66" s="8">
        <f>IFERROR(G66/F66,"")</f>
        <v>0.22988557892656117</v>
      </c>
      <c r="I66" s="18">
        <f>IFERROR(((E66/$B$112) / AVERAGE('V25'!E66/'V25'!$B$112, 'V26'!E66/'V26'!$B$112)) * 100,"")</f>
        <v>197.85416553053773</v>
      </c>
      <c r="J66" s="18">
        <f>IFERROR(((F66/$B$112) / AVERAGE('V25'!F66/'V25'!$B$112, 'V26'!F66/'V26'!$B$112)) * 100,"")</f>
        <v>197.3891515699633</v>
      </c>
      <c r="K66" s="18">
        <f>IFERROR(((G66/$B$112) / AVERAGE('V25'!G66/'V25'!$B$112, 'V26'!G66/'V26'!$B$112)) * 100,"")</f>
        <v>195.84716140963886</v>
      </c>
    </row>
    <row r="67" spans="1:11">
      <c r="C67" s="2" t="s">
        <v>63</v>
      </c>
    </row>
    <row r="68" spans="1:11">
      <c r="C68" s="2" t="s">
        <v>64</v>
      </c>
    </row>
    <row r="69" spans="1:11">
      <c r="C69" s="2" t="s">
        <v>65</v>
      </c>
    </row>
    <row r="70" spans="1:11">
      <c r="C70" s="9" t="s">
        <v>19</v>
      </c>
      <c r="D70" s="10"/>
      <c r="E70" s="11">
        <f>SUM(E66:E69)</f>
        <v>149</v>
      </c>
      <c r="F70" s="11">
        <f>SUM(F66:F69)</f>
        <v>3085.97</v>
      </c>
      <c r="G70" s="11">
        <f>SUM(G66:G69)</f>
        <v>709.42</v>
      </c>
      <c r="H70" s="12">
        <f>IFERROR(G70/F70,"")</f>
        <v>0.22988557892656117</v>
      </c>
    </row>
    <row r="71" spans="1:11">
      <c r="B71" s="5" t="s">
        <v>20</v>
      </c>
      <c r="E71" s="16">
        <f>IFERROR((E70-('V26'!E70))/('V26'!E70),"")</f>
        <v>0.25210084033613445</v>
      </c>
      <c r="F71" s="16">
        <f>IFERROR((F70-('V26'!F70))/('V26'!F70),"")</f>
        <v>0.24915804472077838</v>
      </c>
      <c r="G71" s="16">
        <f>IFERROR((G70-('V26'!G70))/('V26'!G70),"")</f>
        <v>0.23939970998794524</v>
      </c>
      <c r="H71" s="16">
        <f>IFERROR(H70-('V26'!H70),"")</f>
        <v>-1.8099894742095446E-3</v>
      </c>
    </row>
    <row r="72" spans="1:11">
      <c r="B72" s="5" t="s">
        <v>21</v>
      </c>
      <c r="E72" s="13">
        <f>E70/$B$112</f>
        <v>7.7575883792367368E-3</v>
      </c>
      <c r="F72" s="13">
        <f>F70/$B$112</f>
        <v>0.16066902691726972</v>
      </c>
      <c r="G72" s="13">
        <f>G70/$B$112</f>
        <v>3.6935492268443795E-2</v>
      </c>
    </row>
    <row r="73" spans="1:11">
      <c r="B73" s="5" t="s">
        <v>22</v>
      </c>
      <c r="E73" s="8">
        <f>IFERROR((E72-'V26'!E72)/'V26'!E72,"")</f>
        <v>0.17648065109315458</v>
      </c>
      <c r="F73" s="8">
        <f>IFERROR((F72-'V26'!F72)/'V26'!F72,"")</f>
        <v>0.17371558458248995</v>
      </c>
      <c r="G73" s="8">
        <f>IFERROR((G72-'V26'!G72)/'V26'!G72,"")</f>
        <v>0.16454660103881136</v>
      </c>
    </row>
    <row r="74" spans="1:11">
      <c r="B74" s="5" t="s">
        <v>23</v>
      </c>
      <c r="E74" s="18">
        <f>(E72 / AVERAGE('V25'!E72,'V26'!E72)) * 100</f>
        <v>197.85416553053773</v>
      </c>
      <c r="F74" s="18">
        <f>(F72 / AVERAGE('V25'!F72,'V26'!F72)) * 100</f>
        <v>197.3891515699633</v>
      </c>
      <c r="G74" s="18">
        <f>(G72 / AVERAGE('V25'!G72,'V26'!G72)) * 100</f>
        <v>195.84716140963886</v>
      </c>
      <c r="H74" s="14">
        <f>IFERROR((G74*0.6)+(F74*0.4),"")</f>
        <v>196.46395747376863</v>
      </c>
    </row>
    <row r="75" spans="1:11">
      <c r="A75" s="1">
        <v>8</v>
      </c>
      <c r="C75" s="2" t="s">
        <v>66</v>
      </c>
      <c r="D75" s="2" t="s">
        <v>5</v>
      </c>
      <c r="E75" s="2" t="s">
        <v>6</v>
      </c>
      <c r="F75" s="2" t="s">
        <v>7</v>
      </c>
      <c r="G75" s="2" t="s">
        <v>8</v>
      </c>
      <c r="H75" s="2" t="s">
        <v>9</v>
      </c>
      <c r="I75" s="2" t="s">
        <v>10</v>
      </c>
      <c r="J75" s="2" t="s">
        <v>11</v>
      </c>
      <c r="K75" s="2" t="s">
        <v>12</v>
      </c>
    </row>
    <row r="76" spans="1:11">
      <c r="B76" s="6" t="s">
        <v>67</v>
      </c>
      <c r="C76" s="2" t="s">
        <v>68</v>
      </c>
      <c r="D76" s="5" t="s">
        <v>69</v>
      </c>
      <c r="E76" s="7">
        <v>48</v>
      </c>
      <c r="F76" s="7">
        <v>1532.48</v>
      </c>
      <c r="G76" s="7">
        <v>332.48</v>
      </c>
      <c r="H76" s="8">
        <f>IFERROR(G76/F76,"")</f>
        <v>0.2169555230737106</v>
      </c>
      <c r="I76" s="18">
        <f>IFERROR(((E76/$B$112) / AVERAGE('V25'!E76/'V25'!$B$112, 'V26'!E76/'V26'!$B$112)) * 100,"")</f>
        <v>86.874561698985218</v>
      </c>
      <c r="J76" s="18">
        <f>IFERROR(((F76/$B$112) / AVERAGE('V25'!F76/'V25'!$B$112, 'V26'!F76/'V26'!$B$112)) * 100,"")</f>
        <v>86.991042828723792</v>
      </c>
      <c r="K76" s="18">
        <f>IFERROR(((G76/$B$112) / AVERAGE('V25'!G76/'V25'!$B$112, 'V26'!G76/'V26'!$B$112)) * 100,"")</f>
        <v>87.414061921174195</v>
      </c>
    </row>
    <row r="77" spans="1:11">
      <c r="C77" s="2" t="s">
        <v>70</v>
      </c>
    </row>
    <row r="78" spans="1:11">
      <c r="C78" s="2" t="s">
        <v>71</v>
      </c>
    </row>
    <row r="79" spans="1:11">
      <c r="C79" s="2" t="s">
        <v>72</v>
      </c>
    </row>
    <row r="80" spans="1:11">
      <c r="C80" s="9" t="s">
        <v>19</v>
      </c>
      <c r="D80" s="10"/>
      <c r="E80" s="11">
        <f>SUM(E76:E79)</f>
        <v>48</v>
      </c>
      <c r="F80" s="11">
        <f>SUM(F76:F79)</f>
        <v>1532.48</v>
      </c>
      <c r="G80" s="11">
        <f>SUM(G76:G79)</f>
        <v>332.48</v>
      </c>
      <c r="H80" s="12">
        <f>IFERROR(G80/F80,"")</f>
        <v>0.2169555230737106</v>
      </c>
    </row>
    <row r="81" spans="1:11">
      <c r="B81" s="5" t="s">
        <v>20</v>
      </c>
      <c r="E81" s="16">
        <f>IFERROR((E80-('V26'!E80))/('V26'!E80),"")</f>
        <v>-2.0408163265306121E-2</v>
      </c>
      <c r="F81" s="16">
        <f>IFERROR((F80-('V26'!F80))/('V26'!F80),"")</f>
        <v>-1.9426172864784558E-2</v>
      </c>
      <c r="G81" s="16">
        <f>IFERROR((G80-('V26'!G80))/('V26'!G80),"")</f>
        <v>-1.5865498460809722E-2</v>
      </c>
      <c r="H81" s="16">
        <f>IFERROR(H80-('V26'!H80),"")</f>
        <v>7.8496178784639992E-4</v>
      </c>
    </row>
    <row r="82" spans="1:11">
      <c r="B82" s="5" t="s">
        <v>21</v>
      </c>
      <c r="E82" s="13">
        <f>E80/$B$112</f>
        <v>2.4990888738480764E-3</v>
      </c>
      <c r="F82" s="13">
        <f>F80/$B$112</f>
        <v>7.9787577445722915E-2</v>
      </c>
      <c r="G82" s="13">
        <f>G80/$B$112</f>
        <v>1.7310355599521009E-2</v>
      </c>
    </row>
    <row r="83" spans="1:11">
      <c r="B83" s="5" t="s">
        <v>22</v>
      </c>
      <c r="E83" s="8">
        <f>IFERROR((E82-'V26'!E82)/'V26'!E82,"")</f>
        <v>-7.9570267217627833E-2</v>
      </c>
      <c r="F83" s="8">
        <f>IFERROR((F82-'V26'!F82)/'V26'!F82,"")</f>
        <v>-7.864758378147374E-2</v>
      </c>
      <c r="G83" s="8">
        <f>IFERROR((G82-'V26'!G82)/'V26'!G82,"")</f>
        <v>-7.530195505400282E-2</v>
      </c>
    </row>
    <row r="84" spans="1:11">
      <c r="B84" s="5" t="s">
        <v>23</v>
      </c>
      <c r="E84" s="18">
        <f>(E82 / AVERAGE('V25'!E82,'V26'!E82)) * 100</f>
        <v>86.874561698985218</v>
      </c>
      <c r="F84" s="18">
        <f>(F82 / AVERAGE('V25'!F82,'V26'!F82)) * 100</f>
        <v>86.991042828723792</v>
      </c>
      <c r="G84" s="18">
        <f>(G82 / AVERAGE('V25'!G82,'V26'!G82)) * 100</f>
        <v>87.414061921174195</v>
      </c>
      <c r="H84" s="14">
        <f>IFERROR((G84*0.6)+(F84*0.4),"")</f>
        <v>87.244854284194034</v>
      </c>
    </row>
    <row r="85" spans="1:11">
      <c r="A85" s="1">
        <v>9</v>
      </c>
      <c r="C85" s="2" t="s">
        <v>73</v>
      </c>
      <c r="D85" s="2" t="s">
        <v>5</v>
      </c>
      <c r="E85" s="2" t="s">
        <v>6</v>
      </c>
      <c r="F85" s="2" t="s">
        <v>7</v>
      </c>
      <c r="G85" s="2" t="s">
        <v>8</v>
      </c>
      <c r="H85" s="2" t="s">
        <v>9</v>
      </c>
      <c r="I85" s="2" t="s">
        <v>10</v>
      </c>
      <c r="J85" s="2" t="s">
        <v>11</v>
      </c>
      <c r="K85" s="2" t="s">
        <v>12</v>
      </c>
    </row>
    <row r="86" spans="1:11">
      <c r="B86" s="6" t="s">
        <v>74</v>
      </c>
      <c r="C86" s="2" t="s">
        <v>75</v>
      </c>
      <c r="D86" s="5" t="s">
        <v>76</v>
      </c>
      <c r="E86" s="7">
        <v>225</v>
      </c>
      <c r="F86" s="7">
        <v>8100</v>
      </c>
      <c r="G86" s="7">
        <v>1354.5</v>
      </c>
      <c r="H86" s="8">
        <f>IFERROR(G86/F86,"")</f>
        <v>0.16722222222222222</v>
      </c>
      <c r="I86" s="18">
        <f>IFERROR(((E86/$B$112) / AVERAGE('V25'!E86/'V25'!$B$112, 'V26'!E86/'V26'!$B$112)) * 100,"")</f>
        <v>102.51050507089616</v>
      </c>
      <c r="J86" s="18">
        <f>IFERROR(((F86/$B$112) / AVERAGE('V25'!F86/'V25'!$B$112, 'V26'!F86/'V26'!$B$112)) * 100,"")</f>
        <v>102.51050507089616</v>
      </c>
      <c r="K86" s="18">
        <f>IFERROR(((G86/$B$112) / AVERAGE('V25'!G86/'V25'!$B$112, 'V26'!G86/'V26'!$B$112)) * 100,"")</f>
        <v>98.490904328307522</v>
      </c>
    </row>
    <row r="87" spans="1:11">
      <c r="C87" s="2" t="s">
        <v>77</v>
      </c>
    </row>
    <row r="88" spans="1:11">
      <c r="C88" s="2" t="s">
        <v>78</v>
      </c>
    </row>
    <row r="89" spans="1:11">
      <c r="C89" s="2" t="s">
        <v>79</v>
      </c>
    </row>
    <row r="90" spans="1:11">
      <c r="C90" s="9" t="s">
        <v>19</v>
      </c>
      <c r="D90" s="10"/>
      <c r="E90" s="11">
        <f>SUM(E86:E89)</f>
        <v>225</v>
      </c>
      <c r="F90" s="11">
        <f>SUM(F86:F89)</f>
        <v>8100</v>
      </c>
      <c r="G90" s="11">
        <f>SUM(G86:G89)</f>
        <v>1354.5</v>
      </c>
      <c r="H90" s="12">
        <f>IFERROR(G90/F90,"")</f>
        <v>0.16722222222222222</v>
      </c>
    </row>
    <row r="91" spans="1:11">
      <c r="B91" s="5" t="s">
        <v>20</v>
      </c>
      <c r="E91" s="16">
        <f>IFERROR((E90-('V26'!E90))/('V26'!E90),"")</f>
        <v>0.125</v>
      </c>
      <c r="F91" s="16">
        <f>IFERROR((F90-('V26'!F90))/('V26'!F90),"")</f>
        <v>0.125</v>
      </c>
      <c r="G91" s="16">
        <f>IFERROR((G90-('V26'!G90))/('V26'!G90),"")</f>
        <v>0.125</v>
      </c>
      <c r="H91" s="16">
        <f>IFERROR(H90-('V26'!H90),"")</f>
        <v>0</v>
      </c>
    </row>
    <row r="92" spans="1:11">
      <c r="B92" s="5" t="s">
        <v>21</v>
      </c>
      <c r="E92" s="13">
        <f>E90/$B$112</f>
        <v>1.1714479096162857E-2</v>
      </c>
      <c r="F92" s="13">
        <f>F90/$B$112</f>
        <v>0.42172124746186285</v>
      </c>
      <c r="G92" s="13">
        <f>G90/$B$112</f>
        <v>7.0521164158900404E-2</v>
      </c>
    </row>
    <row r="93" spans="1:11">
      <c r="B93" s="5" t="s">
        <v>22</v>
      </c>
      <c r="E93" s="8">
        <f>IFERROR((E92-'V26'!E92)/'V26'!E92,"")</f>
        <v>5.7056021242255409E-2</v>
      </c>
      <c r="F93" s="8">
        <f>IFERROR((F92-'V26'!F92)/'V26'!F92,"")</f>
        <v>5.7056021242255353E-2</v>
      </c>
      <c r="G93" s="8">
        <f>IFERROR((G92-'V26'!G92)/'V26'!G92,"")</f>
        <v>5.7056021242255409E-2</v>
      </c>
    </row>
    <row r="94" spans="1:11">
      <c r="B94" s="5" t="s">
        <v>23</v>
      </c>
      <c r="E94" s="18">
        <f>(E92 / AVERAGE('V25'!E92,'V26'!E92)) * 100</f>
        <v>102.51050507089616</v>
      </c>
      <c r="F94" s="18">
        <f>(F92 / AVERAGE('V25'!F92,'V26'!F92)) * 100</f>
        <v>102.51050507089616</v>
      </c>
      <c r="G94" s="18">
        <f>(G92 / AVERAGE('V25'!G92,'V26'!G92)) * 100</f>
        <v>98.490904328307522</v>
      </c>
      <c r="H94" s="14">
        <f>IFERROR((G94*0.6)+(F94*0.4),"")</f>
        <v>100.09874462534297</v>
      </c>
    </row>
    <row r="95" spans="1:11">
      <c r="A95" s="1">
        <v>10</v>
      </c>
      <c r="C95" s="2" t="s">
        <v>80</v>
      </c>
      <c r="D95" s="2" t="s">
        <v>5</v>
      </c>
      <c r="E95" s="2" t="s">
        <v>6</v>
      </c>
      <c r="F95" s="2" t="s">
        <v>7</v>
      </c>
      <c r="G95" s="2" t="s">
        <v>8</v>
      </c>
      <c r="H95" s="2" t="s">
        <v>9</v>
      </c>
      <c r="I95" s="2" t="s">
        <v>10</v>
      </c>
      <c r="J95" s="2" t="s">
        <v>11</v>
      </c>
      <c r="K95" s="2" t="s">
        <v>12</v>
      </c>
    </row>
    <row r="96" spans="1:11">
      <c r="B96" s="6" t="s">
        <v>81</v>
      </c>
      <c r="C96" s="2" t="s">
        <v>82</v>
      </c>
      <c r="D96" s="5" t="s">
        <v>83</v>
      </c>
      <c r="E96" s="7">
        <v>256</v>
      </c>
      <c r="F96" s="7">
        <v>9216</v>
      </c>
      <c r="G96" s="7">
        <v>1541.12</v>
      </c>
      <c r="H96" s="8">
        <f>IFERROR(G96/F96,"")</f>
        <v>0.16722222222222222</v>
      </c>
      <c r="I96" s="18">
        <f>IFERROR(((E96/$B$112) / AVERAGE('V25'!E96/'V25'!$B$112, 'V26'!E96/'V26'!$B$112)) * 100,"")</f>
        <v>92.481082346413658</v>
      </c>
      <c r="J96" s="18">
        <f>IFERROR(((F96/$B$112) / AVERAGE('V25'!F96/'V25'!$B$112, 'V26'!F96/'V26'!$B$112)) * 100,"")</f>
        <v>92.507385937937386</v>
      </c>
      <c r="K96" s="18">
        <f>IFERROR(((G96/$B$112) / AVERAGE('V25'!G96/'V25'!$B$112, 'V26'!G96/'V26'!$B$112)) * 100,"")</f>
        <v>88.521534994089649</v>
      </c>
    </row>
    <row r="97" spans="2:8">
      <c r="C97" s="2" t="s">
        <v>84</v>
      </c>
    </row>
    <row r="98" spans="2:8">
      <c r="C98" s="2" t="s">
        <v>85</v>
      </c>
    </row>
    <row r="99" spans="2:8">
      <c r="C99" s="2" t="s">
        <v>86</v>
      </c>
    </row>
    <row r="100" spans="2:8">
      <c r="C100" s="9" t="s">
        <v>19</v>
      </c>
      <c r="D100" s="10"/>
      <c r="E100" s="11">
        <f>SUM(E96:E99)</f>
        <v>256</v>
      </c>
      <c r="F100" s="11">
        <f>SUM(F96:F99)</f>
        <v>9216</v>
      </c>
      <c r="G100" s="11">
        <f>SUM(G96:G99)</f>
        <v>1541.12</v>
      </c>
      <c r="H100" s="12">
        <f>IFERROR(G100/F100,"")</f>
        <v>0.16722222222222222</v>
      </c>
    </row>
    <row r="101" spans="2:8">
      <c r="B101" s="5" t="s">
        <v>20</v>
      </c>
      <c r="E101" s="16">
        <f>IFERROR((E100-('V26'!E100))/('V26'!E100),"")</f>
        <v>0.27363184079601988</v>
      </c>
      <c r="F101" s="16">
        <f>IFERROR((F100-('V26'!F100))/('V26'!F100),"")</f>
        <v>0.27394874346852455</v>
      </c>
      <c r="G101" s="16">
        <f>IFERROR((G100-('V26'!G100))/('V26'!G100),"")</f>
        <v>0.27552929102315793</v>
      </c>
      <c r="H101" s="16">
        <f>IFERROR(H100-('V26'!H100),"")</f>
        <v>2.0721019601335766E-4</v>
      </c>
    </row>
    <row r="102" spans="2:8">
      <c r="B102" s="5" t="s">
        <v>21</v>
      </c>
      <c r="E102" s="13">
        <f>E100/$B$112</f>
        <v>1.3328473993856407E-2</v>
      </c>
      <c r="F102" s="13">
        <f>F100/$B$112</f>
        <v>0.47982506377883061</v>
      </c>
      <c r="G102" s="13">
        <f>G100/$B$112</f>
        <v>8.0237413443015562E-2</v>
      </c>
    </row>
    <row r="103" spans="2:8">
      <c r="B103" s="5" t="s">
        <v>22</v>
      </c>
      <c r="E103" s="8">
        <f>IFERROR((E102-'V26'!E102)/'V26'!E102,"")</f>
        <v>0.19671129436381393</v>
      </c>
      <c r="F103" s="8">
        <f>IFERROR((F102-'V26'!F102)/'V26'!F102,"")</f>
        <v>0.1970090578110304</v>
      </c>
      <c r="G103" s="8">
        <f>IFERROR((G102-'V26'!G102)/'V26'!G102,"")</f>
        <v>0.19849414875279492</v>
      </c>
    </row>
    <row r="104" spans="2:8">
      <c r="B104" s="5" t="s">
        <v>23</v>
      </c>
      <c r="E104" s="18">
        <f>(E102 / AVERAGE('V25'!E102,'V26'!E102)) * 100</f>
        <v>92.481082346413658</v>
      </c>
      <c r="F104" s="18">
        <f>(F102 / AVERAGE('V25'!F102,'V26'!F102)) * 100</f>
        <v>92.507385937937386</v>
      </c>
      <c r="G104" s="18">
        <f>(G102 / AVERAGE('V25'!G102,'V26'!G102)) * 100</f>
        <v>88.521534994089649</v>
      </c>
      <c r="H104" s="14">
        <f>IFERROR((G104*0.6)+(F104*0.4),"")</f>
        <v>90.115875371628746</v>
      </c>
    </row>
    <row r="106" spans="2:8">
      <c r="B106" s="2" t="s">
        <v>87</v>
      </c>
      <c r="E106" s="15">
        <f>E10+E20+E30+E40+E50+E60+E70+E80+E90+E100</f>
        <v>2290</v>
      </c>
      <c r="F106" s="15">
        <f>F10+F20+F30+F40+F50+F60+F70+F80+F90+F100</f>
        <v>77897.260000000009</v>
      </c>
      <c r="G106" s="15">
        <f>G10+G20+G30+G40+G50+G60+G70+G80+G90+G100</f>
        <v>12510.77</v>
      </c>
      <c r="H106" s="16">
        <f>IFERROR(G106/F106,"")</f>
        <v>0.160606034153191</v>
      </c>
    </row>
    <row r="107" spans="2:8">
      <c r="B107" s="5" t="s">
        <v>88</v>
      </c>
      <c r="E107" s="16">
        <f>IFERROR((E106-'V26'!E106)/'V26'!E106,"")</f>
        <v>6.5116279069767441E-2</v>
      </c>
      <c r="F107" s="16">
        <f>IFERROR((F106-'V26'!F106)/'V26'!F106,"")</f>
        <v>-1.561412926171296E-3</v>
      </c>
      <c r="G107" s="16">
        <f>IFERROR((G106-'V26'!G106)/'V26'!G106,"")</f>
        <v>-3.7179810803239587E-2</v>
      </c>
      <c r="H107" s="16">
        <f>IFERROR(H106-'V26'!H106,"")</f>
        <v>-5.941430902792727E-3</v>
      </c>
    </row>
    <row r="108" spans="2:8">
      <c r="B108" s="5" t="s">
        <v>21</v>
      </c>
      <c r="E108" s="13">
        <f>E106/$B$112</f>
        <v>0.11922736502316864</v>
      </c>
      <c r="F108" s="13">
        <f>F106/$B$112</f>
        <v>4.0556703285260589</v>
      </c>
      <c r="G108" s="13">
        <f>G106/$B$112</f>
        <v>0.65136512729733953</v>
      </c>
    </row>
    <row r="109" spans="2:8">
      <c r="B109" s="5" t="s">
        <v>22</v>
      </c>
      <c r="E109" s="8">
        <f>IFERROR((E108-'V26'!E108)/'V26'!E108,"")</f>
        <v>7.8895654563918807E-4</v>
      </c>
      <c r="F109" s="8">
        <f>IFERROR((F108-'V26'!F108)/'V26'!F108,"")</f>
        <v>-6.1861759727110541E-2</v>
      </c>
      <c r="G109" s="8">
        <f>IFERROR((G108-'V26'!G108)/'V26'!G108,"")</f>
        <v>-9.5328997009739458E-2</v>
      </c>
    </row>
    <row r="110" spans="2:8">
      <c r="B110" s="5" t="s">
        <v>23</v>
      </c>
      <c r="E110" s="18">
        <f>IFERROR((E108 / AVERAGE('V25'!E108,'V26'!E108)) * 100,"")</f>
        <v>92.125774706640414</v>
      </c>
      <c r="F110" s="18">
        <f>IFERROR((F108 / AVERAGE('V25'!F108,'V26'!F108)) * 100,"")</f>
        <v>88.614265961656926</v>
      </c>
      <c r="G110" s="18">
        <f>IFERROR((G108 / AVERAGE('V25'!G108,'V26'!G108)) * 100,"")</f>
        <v>83.430672929496538</v>
      </c>
      <c r="H110" s="14">
        <f>IFERROR((G110*0.6)+(F110*0.4),"")</f>
        <v>85.504110142360702</v>
      </c>
    </row>
    <row r="111" spans="2:8">
      <c r="B111" s="5" t="s">
        <v>89</v>
      </c>
      <c r="C111" s="5" t="s">
        <v>90</v>
      </c>
      <c r="D111" s="5" t="s">
        <v>91</v>
      </c>
    </row>
    <row r="112" spans="2:8">
      <c r="B112" s="17">
        <v>19207</v>
      </c>
      <c r="C112" s="17">
        <f>B112-'V26'!$B$112</f>
        <v>1160</v>
      </c>
      <c r="D112" s="19">
        <f>C112/'V26'!$B$112</f>
        <v>6.4276611071092143E-2</v>
      </c>
    </row>
  </sheetData>
  <conditionalFormatting sqref="E11:G11">
    <cfRule type="cellIs" dxfId="351" priority="1" operator="lessThan">
      <formula>0</formula>
    </cfRule>
    <cfRule type="cellIs" dxfId="350" priority="2" operator="greaterThan">
      <formula>0</formula>
    </cfRule>
  </conditionalFormatting>
  <conditionalFormatting sqref="E21:G21">
    <cfRule type="cellIs" dxfId="349" priority="3" operator="lessThan">
      <formula>0</formula>
    </cfRule>
    <cfRule type="cellIs" dxfId="348" priority="4" operator="greaterThan">
      <formula>0</formula>
    </cfRule>
  </conditionalFormatting>
  <conditionalFormatting sqref="E31:G31">
    <cfRule type="cellIs" dxfId="347" priority="5" operator="lessThan">
      <formula>0</formula>
    </cfRule>
    <cfRule type="cellIs" dxfId="346" priority="6" operator="greaterThan">
      <formula>0</formula>
    </cfRule>
  </conditionalFormatting>
  <conditionalFormatting sqref="E41:G41">
    <cfRule type="cellIs" dxfId="345" priority="7" operator="lessThan">
      <formula>0</formula>
    </cfRule>
    <cfRule type="cellIs" dxfId="344" priority="8" operator="greaterThan">
      <formula>0</formula>
    </cfRule>
  </conditionalFormatting>
  <conditionalFormatting sqref="E51:G51">
    <cfRule type="cellIs" dxfId="343" priority="9" operator="lessThan">
      <formula>0</formula>
    </cfRule>
    <cfRule type="cellIs" dxfId="342" priority="10" operator="greaterThan">
      <formula>0</formula>
    </cfRule>
  </conditionalFormatting>
  <conditionalFormatting sqref="E61:G61">
    <cfRule type="cellIs" dxfId="341" priority="11" operator="lessThan">
      <formula>0</formula>
    </cfRule>
    <cfRule type="cellIs" dxfId="340" priority="12" operator="greaterThan">
      <formula>0</formula>
    </cfRule>
  </conditionalFormatting>
  <conditionalFormatting sqref="E71:G71">
    <cfRule type="cellIs" dxfId="339" priority="13" operator="lessThan">
      <formula>0</formula>
    </cfRule>
    <cfRule type="cellIs" dxfId="338" priority="14" operator="greaterThan">
      <formula>0</formula>
    </cfRule>
  </conditionalFormatting>
  <conditionalFormatting sqref="E81:G81">
    <cfRule type="cellIs" dxfId="337" priority="15" operator="lessThan">
      <formula>0</formula>
    </cfRule>
    <cfRule type="cellIs" dxfId="336" priority="16" operator="greaterThan">
      <formula>0</formula>
    </cfRule>
  </conditionalFormatting>
  <conditionalFormatting sqref="E91:G91">
    <cfRule type="cellIs" dxfId="335" priority="17" operator="lessThan">
      <formula>0</formula>
    </cfRule>
    <cfRule type="cellIs" dxfId="334" priority="18" operator="greaterThan">
      <formula>0</formula>
    </cfRule>
  </conditionalFormatting>
  <conditionalFormatting sqref="E101:G101">
    <cfRule type="cellIs" dxfId="333" priority="19" operator="lessThan">
      <formula>0</formula>
    </cfRule>
    <cfRule type="cellIs" dxfId="332" priority="20" operator="greaterThan">
      <formula>0</formula>
    </cfRule>
  </conditionalFormatting>
  <conditionalFormatting sqref="E107:G107">
    <cfRule type="cellIs" dxfId="331" priority="21" operator="lessThan">
      <formula>0</formula>
    </cfRule>
    <cfRule type="cellIs" dxfId="330" priority="22" operator="greaterThan">
      <formula>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2"/>
  <sheetViews>
    <sheetView zoomScaleNormal="100" zoomScaleSheetLayoutView="100" workbookViewId="0"/>
  </sheetViews>
  <sheetFormatPr defaultRowHeight="15"/>
  <cols>
    <col min="2" max="2" width="16" customWidth="1"/>
    <col min="4" max="4" width="26" customWidth="1"/>
    <col min="5" max="5" width="10" customWidth="1"/>
    <col min="6" max="7" width="12" customWidth="1"/>
    <col min="8" max="8" width="10" customWidth="1"/>
    <col min="9" max="11" width="12" customWidth="1"/>
  </cols>
  <sheetData>
    <row r="1" spans="1:11">
      <c r="A1" s="1" t="s">
        <v>0</v>
      </c>
    </row>
    <row r="3" spans="1:11">
      <c r="C3" s="2" t="s">
        <v>98</v>
      </c>
    </row>
    <row r="4" spans="1:11">
      <c r="C4" s="3" t="s">
        <v>99</v>
      </c>
      <c r="I4" s="4">
        <v>28</v>
      </c>
      <c r="J4" s="5" t="s">
        <v>3</v>
      </c>
    </row>
    <row r="5" spans="1:11">
      <c r="A5" s="1">
        <v>1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</row>
    <row r="6" spans="1:11">
      <c r="B6" s="6" t="s">
        <v>100</v>
      </c>
      <c r="C6" s="2" t="s">
        <v>14</v>
      </c>
      <c r="D6" s="5" t="s">
        <v>101</v>
      </c>
      <c r="E6" s="7">
        <v>52</v>
      </c>
      <c r="F6" s="7">
        <v>3658.72</v>
      </c>
      <c r="G6" s="7">
        <v>738.72</v>
      </c>
      <c r="H6" s="8">
        <f>IFERROR(G6/F6,"")</f>
        <v>0.20190667774522239</v>
      </c>
      <c r="I6" s="18">
        <f>IFERROR(((E6/$B$112) / AVERAGE('V25'!E6/'V25'!$B$112, 'V26'!E6/'V26'!$B$112, 'V27'!E6/'V27'!$B$112)) * 100,"")</f>
        <v>34.702798622543554</v>
      </c>
      <c r="J6" s="18">
        <f>IFERROR(((F6/$B$112) / AVERAGE('V25'!F6/'V25'!$B$112, 'V26'!F6/'V26'!$B$112, 'V27'!F6/'V27'!$B$112)) * 100,"")</f>
        <v>34.032166846365683</v>
      </c>
      <c r="K6" s="18">
        <f>IFERROR(((G6/$B$112) / AVERAGE('V25'!G6/'V25'!$B$112, 'V26'!G6/'V26'!$B$112, 'V27'!G6/'V27'!$B$112)) * 100,"")</f>
        <v>29.405861156764285</v>
      </c>
    </row>
    <row r="7" spans="1:11">
      <c r="C7" s="2" t="s">
        <v>16</v>
      </c>
    </row>
    <row r="8" spans="1:11">
      <c r="C8" s="2" t="s">
        <v>17</v>
      </c>
    </row>
    <row r="9" spans="1:11">
      <c r="C9" s="2" t="s">
        <v>18</v>
      </c>
    </row>
    <row r="10" spans="1:11">
      <c r="C10" s="9" t="s">
        <v>19</v>
      </c>
      <c r="D10" s="10"/>
      <c r="E10" s="11">
        <f>SUM(E6:E9)</f>
        <v>52</v>
      </c>
      <c r="F10" s="11">
        <f>SUM(F6:F9)</f>
        <v>3658.72</v>
      </c>
      <c r="G10" s="11">
        <f>SUM(G6:G9)</f>
        <v>738.72</v>
      </c>
      <c r="H10" s="12">
        <f>IFERROR(G10/F10,"")</f>
        <v>0.20190667774522239</v>
      </c>
    </row>
    <row r="11" spans="1:11">
      <c r="B11" s="5" t="s">
        <v>20</v>
      </c>
      <c r="E11" s="16">
        <f>IFERROR((E10-('V27'!E10))/('V27'!E10),"")</f>
        <v>-0.35</v>
      </c>
      <c r="F11" s="16">
        <f>IFERROR((F10-('V27'!F10))/('V27'!F10),"")</f>
        <v>-0.3547686230248307</v>
      </c>
      <c r="G11" s="16">
        <f>IFERROR((G10-('V27'!G10))/('V27'!G10),"")</f>
        <v>-0.19564459930313585</v>
      </c>
      <c r="H11" s="16">
        <f>IFERROR(H10-('V27'!H10),"")</f>
        <v>3.9942795126712227E-2</v>
      </c>
    </row>
    <row r="12" spans="1:11">
      <c r="B12" s="5" t="s">
        <v>21</v>
      </c>
      <c r="E12" s="13">
        <f>E10/$B$112</f>
        <v>2.6511675333945142E-3</v>
      </c>
      <c r="F12" s="13">
        <f>F10/$B$112</f>
        <v>0.186536147649638</v>
      </c>
      <c r="G12" s="13">
        <f>G10/$B$112</f>
        <v>3.7662893851330682E-2</v>
      </c>
    </row>
    <row r="13" spans="1:11">
      <c r="B13" s="5" t="s">
        <v>22</v>
      </c>
      <c r="E13" s="8">
        <f>IFERROR((E12-'V27'!E12)/'V27'!E12,"")</f>
        <v>-0.36348781482614462</v>
      </c>
      <c r="F13" s="8">
        <f>IFERROR((F12-'V27'!F12)/'V27'!F12,"")</f>
        <v>-0.36815748661353742</v>
      </c>
      <c r="G13" s="8">
        <f>IFERROR((G12-'V27'!G12)/'V27'!G12,"")</f>
        <v>-0.21233536345545687</v>
      </c>
    </row>
    <row r="14" spans="1:11">
      <c r="B14" s="5" t="s">
        <v>23</v>
      </c>
      <c r="E14" s="18">
        <f>(E12 / AVERAGE('V25'!E12,'V26'!E12,'V27'!E12)) * 100</f>
        <v>34.702798622543554</v>
      </c>
      <c r="F14" s="18">
        <f>(F12 / AVERAGE('V25'!F12,'V26'!F12,'V27'!F12)) * 100</f>
        <v>34.032166846365683</v>
      </c>
      <c r="G14" s="18">
        <f>(G12 / AVERAGE('V25'!G12,'V26'!G12,'V27'!G12)) * 100</f>
        <v>29.405861156764285</v>
      </c>
      <c r="H14" s="14">
        <f>IFERROR((G14*0.6)+(F14*0.4),"")</f>
        <v>31.256383432604842</v>
      </c>
    </row>
    <row r="15" spans="1:11">
      <c r="A15" s="1">
        <v>2</v>
      </c>
      <c r="C15" s="2" t="s">
        <v>24</v>
      </c>
      <c r="D15" s="2" t="s">
        <v>5</v>
      </c>
      <c r="E15" s="2" t="s">
        <v>6</v>
      </c>
      <c r="F15" s="2" t="s">
        <v>7</v>
      </c>
      <c r="G15" s="2" t="s">
        <v>8</v>
      </c>
      <c r="H15" s="2" t="s">
        <v>9</v>
      </c>
      <c r="I15" s="2" t="s">
        <v>10</v>
      </c>
      <c r="J15" s="2" t="s">
        <v>11</v>
      </c>
      <c r="K15" s="2" t="s">
        <v>12</v>
      </c>
    </row>
    <row r="16" spans="1:11">
      <c r="B16" s="6" t="s">
        <v>25</v>
      </c>
      <c r="C16" s="2" t="s">
        <v>26</v>
      </c>
      <c r="D16" s="5" t="s">
        <v>27</v>
      </c>
      <c r="E16" s="7">
        <v>197</v>
      </c>
      <c r="F16" s="7">
        <v>3929.12</v>
      </c>
      <c r="G16" s="7">
        <v>786.97</v>
      </c>
      <c r="H16" s="8">
        <f>IFERROR(G16/F16,"")</f>
        <v>0.20029166836339946</v>
      </c>
      <c r="I16" s="18">
        <f>IFERROR(((E16/$B$112) / AVERAGE('V25'!E16/'V25'!$B$112, 'V26'!E16/'V26'!$B$112, 'V27'!E16/'V27'!$B$112)) * 100,"")</f>
        <v>115.20436966024681</v>
      </c>
      <c r="J16" s="18">
        <f>IFERROR(((F16/$B$112) / AVERAGE('V25'!F16/'V25'!$B$112, 'V26'!F16/'V26'!$B$112, 'V27'!F16/'V27'!$B$112)) * 100,"")</f>
        <v>113.28842276457394</v>
      </c>
      <c r="K16" s="18">
        <f>IFERROR(((G16/$B$112) / AVERAGE('V25'!G16/'V25'!$B$112, 'V26'!G16/'V26'!$B$112, 'V27'!G16/'V27'!$B$112)) * 100,"")</f>
        <v>108.19827525528652</v>
      </c>
    </row>
    <row r="17" spans="1:11">
      <c r="C17" s="2" t="s">
        <v>28</v>
      </c>
    </row>
    <row r="18" spans="1:11">
      <c r="C18" s="2" t="s">
        <v>29</v>
      </c>
    </row>
    <row r="19" spans="1:11">
      <c r="C19" s="2" t="s">
        <v>30</v>
      </c>
    </row>
    <row r="20" spans="1:11">
      <c r="C20" s="9" t="s">
        <v>19</v>
      </c>
      <c r="D20" s="10"/>
      <c r="E20" s="11">
        <f>SUM(E16:E19)</f>
        <v>197</v>
      </c>
      <c r="F20" s="11">
        <f>SUM(F16:F19)</f>
        <v>3929.12</v>
      </c>
      <c r="G20" s="11">
        <f>SUM(G16:G19)</f>
        <v>786.97</v>
      </c>
      <c r="H20" s="12">
        <f>IFERROR(G20/F20,"")</f>
        <v>0.20029166836339946</v>
      </c>
    </row>
    <row r="21" spans="1:11">
      <c r="B21" s="5" t="s">
        <v>20</v>
      </c>
      <c r="E21" s="16">
        <f>IFERROR((E20-('V27'!E20))/('V27'!E20),"")</f>
        <v>9.4444444444444442E-2</v>
      </c>
      <c r="F21" s="16">
        <f>IFERROR((F20-('V27'!F20))/('V27'!F20),"")</f>
        <v>9.4215511263475354E-2</v>
      </c>
      <c r="G21" s="16">
        <f>IFERROR((G20-('V27'!G20))/('V27'!G20),"")</f>
        <v>9.3302399244245132E-2</v>
      </c>
      <c r="H21" s="16">
        <f>IFERROR(H20-('V27'!H20),"")</f>
        <v>-1.6728101014021335E-4</v>
      </c>
    </row>
    <row r="22" spans="1:11">
      <c r="B22" s="5" t="s">
        <v>21</v>
      </c>
      <c r="E22" s="13">
        <f>E20/$B$112</f>
        <v>1.0043846232283063E-2</v>
      </c>
      <c r="F22" s="13">
        <f>F20/$B$112</f>
        <v>0.20032221882328949</v>
      </c>
      <c r="G22" s="13">
        <f>G20/$B$112</f>
        <v>4.0122871418374631E-2</v>
      </c>
    </row>
    <row r="23" spans="1:11">
      <c r="B23" s="5" t="s">
        <v>22</v>
      </c>
      <c r="E23" s="8">
        <f>IFERROR((E22-'V27'!E22)/'V27'!E22,"")</f>
        <v>7.1734192130337784E-2</v>
      </c>
      <c r="F23" s="8">
        <f>IFERROR((F22-'V27'!F22)/'V27'!F22,"")</f>
        <v>7.151000942375714E-2</v>
      </c>
      <c r="G23" s="8">
        <f>IFERROR((G22-'V27'!G22)/'V27'!G22,"")</f>
        <v>7.061584492118983E-2</v>
      </c>
    </row>
    <row r="24" spans="1:11">
      <c r="B24" s="5" t="s">
        <v>23</v>
      </c>
      <c r="E24" s="18">
        <f>(E22 / AVERAGE('V25'!E22,'V26'!E22,'V27'!E22)) * 100</f>
        <v>115.20436966024681</v>
      </c>
      <c r="F24" s="18">
        <f>(F22 / AVERAGE('V25'!F22,'V26'!F22,'V27'!F22)) * 100</f>
        <v>113.28842276457394</v>
      </c>
      <c r="G24" s="18">
        <f>(G22 / AVERAGE('V25'!G22,'V26'!G22,'V27'!G22)) * 100</f>
        <v>108.19827525528652</v>
      </c>
      <c r="H24" s="14">
        <f>IFERROR((G24*0.6)+(F24*0.4),"")</f>
        <v>110.23433425900149</v>
      </c>
    </row>
    <row r="25" spans="1:11">
      <c r="A25" s="1">
        <v>3</v>
      </c>
      <c r="C25" s="2" t="s">
        <v>31</v>
      </c>
      <c r="D25" s="2" t="s">
        <v>5</v>
      </c>
      <c r="E25" s="2" t="s">
        <v>6</v>
      </c>
      <c r="F25" s="2" t="s">
        <v>7</v>
      </c>
      <c r="G25" s="2" t="s">
        <v>8</v>
      </c>
      <c r="H25" s="2" t="s">
        <v>9</v>
      </c>
      <c r="I25" s="2" t="s">
        <v>10</v>
      </c>
      <c r="J25" s="2" t="s">
        <v>11</v>
      </c>
      <c r="K25" s="2" t="s">
        <v>12</v>
      </c>
    </row>
    <row r="26" spans="1:11">
      <c r="B26" s="6" t="s">
        <v>32</v>
      </c>
      <c r="C26" s="2" t="s">
        <v>33</v>
      </c>
      <c r="D26" s="5" t="s">
        <v>34</v>
      </c>
      <c r="E26" s="7">
        <v>588</v>
      </c>
      <c r="F26" s="7">
        <v>13893.44</v>
      </c>
      <c r="G26" s="7">
        <v>3069.2</v>
      </c>
      <c r="H26" s="8">
        <f>IFERROR(G26/F26,"")</f>
        <v>0.22091001220719991</v>
      </c>
      <c r="I26" s="18">
        <f>IFERROR(((E26/$B$112) / AVERAGE('V25'!E26/'V25'!$B$112, 'V26'!E26/'V26'!$B$112, 'V27'!E26/'V27'!$B$112)) * 100,"")</f>
        <v>107.3229438157542</v>
      </c>
      <c r="J26" s="18">
        <f>IFERROR(((F26/$B$112) / AVERAGE('V25'!F26/'V25'!$B$112, 'V26'!F26/'V26'!$B$112, 'V27'!F26/'V27'!$B$112)) * 100,"")</f>
        <v>107.33841009271919</v>
      </c>
      <c r="K26" s="18">
        <f>IFERROR(((G26/$B$112) / AVERAGE('V25'!G26/'V25'!$B$112, 'V26'!G26/'V26'!$B$112, 'V27'!G26/'V27'!$B$112)) * 100,"")</f>
        <v>107.94154455545014</v>
      </c>
    </row>
    <row r="27" spans="1:11">
      <c r="C27" s="2" t="s">
        <v>35</v>
      </c>
    </row>
    <row r="28" spans="1:11">
      <c r="C28" s="2" t="s">
        <v>36</v>
      </c>
    </row>
    <row r="29" spans="1:11">
      <c r="C29" s="2" t="s">
        <v>37</v>
      </c>
    </row>
    <row r="30" spans="1:11">
      <c r="C30" s="9" t="s">
        <v>19</v>
      </c>
      <c r="D30" s="10"/>
      <c r="E30" s="11">
        <f>SUM(E26:E29)</f>
        <v>588</v>
      </c>
      <c r="F30" s="11">
        <f>SUM(F26:F29)</f>
        <v>13893.44</v>
      </c>
      <c r="G30" s="11">
        <f>SUM(G26:G29)</f>
        <v>3069.2</v>
      </c>
      <c r="H30" s="12">
        <f>IFERROR(G30/F30,"")</f>
        <v>0.22091001220719991</v>
      </c>
    </row>
    <row r="31" spans="1:11">
      <c r="B31" s="5" t="s">
        <v>20</v>
      </c>
      <c r="E31" s="16">
        <f>IFERROR((E30-('V27'!E30))/('V27'!E30),"")</f>
        <v>0.13513513513513514</v>
      </c>
      <c r="F31" s="16">
        <f>IFERROR((F30-('V27'!F30))/('V27'!F30),"")</f>
        <v>0.13535953138994394</v>
      </c>
      <c r="G31" s="16">
        <f>IFERROR((G30-('V27'!G30))/('V27'!G30),"")</f>
        <v>0.15029720633540467</v>
      </c>
      <c r="H31" s="16">
        <f>IFERROR(H30-('V27'!H30),"")</f>
        <v>2.868721176035538E-3</v>
      </c>
    </row>
    <row r="32" spans="1:11">
      <c r="B32" s="5" t="s">
        <v>21</v>
      </c>
      <c r="E32" s="13">
        <f>E30/$B$112</f>
        <v>2.9978586723768737E-2</v>
      </c>
      <c r="F32" s="13">
        <f>F30/$B$112</f>
        <v>0.70834302029162843</v>
      </c>
      <c r="G32" s="13">
        <f>G30/$B$112</f>
        <v>0.1564800652595085</v>
      </c>
    </row>
    <row r="33" spans="1:11">
      <c r="B33" s="5" t="s">
        <v>22</v>
      </c>
      <c r="E33" s="8">
        <f>IFERROR((E32-'V27'!E32)/'V27'!E32,"")</f>
        <v>0.11158053128074547</v>
      </c>
      <c r="F33" s="8">
        <f>IFERROR((F32-'V27'!F32)/'V27'!F32,"")</f>
        <v>0.11180027120458098</v>
      </c>
      <c r="G33" s="8">
        <f>IFERROR((G32-'V27'!G32)/'V27'!G32,"")</f>
        <v>0.12642798215989182</v>
      </c>
    </row>
    <row r="34" spans="1:11">
      <c r="B34" s="5" t="s">
        <v>23</v>
      </c>
      <c r="E34" s="18">
        <f>(E32 / AVERAGE('V25'!E32,'V26'!E32,'V27'!E32)) * 100</f>
        <v>107.3229438157542</v>
      </c>
      <c r="F34" s="18">
        <f>(F32 / AVERAGE('V25'!F32,'V26'!F32,'V27'!F32)) * 100</f>
        <v>107.33841009271919</v>
      </c>
      <c r="G34" s="18">
        <f>(G32 / AVERAGE('V25'!G32,'V26'!G32,'V27'!G32)) * 100</f>
        <v>107.94154455545014</v>
      </c>
      <c r="H34" s="14">
        <f>IFERROR((G34*0.6)+(F34*0.4),"")</f>
        <v>107.70029077035775</v>
      </c>
    </row>
    <row r="35" spans="1:11">
      <c r="A35" s="1">
        <v>4</v>
      </c>
      <c r="C35" s="2" t="s">
        <v>38</v>
      </c>
      <c r="D35" s="2" t="s">
        <v>5</v>
      </c>
      <c r="E35" s="2" t="s">
        <v>6</v>
      </c>
      <c r="F35" s="2" t="s">
        <v>7</v>
      </c>
      <c r="G35" s="2" t="s">
        <v>8</v>
      </c>
      <c r="H35" s="2" t="s">
        <v>9</v>
      </c>
      <c r="I35" s="2" t="s">
        <v>10</v>
      </c>
      <c r="J35" s="2" t="s">
        <v>11</v>
      </c>
      <c r="K35" s="2" t="s">
        <v>12</v>
      </c>
    </row>
    <row r="36" spans="1:11">
      <c r="B36" s="6" t="s">
        <v>39</v>
      </c>
      <c r="C36" s="2" t="s">
        <v>40</v>
      </c>
      <c r="D36" s="5" t="s">
        <v>41</v>
      </c>
      <c r="E36" s="7">
        <v>561</v>
      </c>
      <c r="F36" s="7">
        <v>13248.88</v>
      </c>
      <c r="G36" s="7">
        <v>3016.9</v>
      </c>
      <c r="H36" s="8">
        <f>IFERROR(G36/F36,"")</f>
        <v>0.22770981396163301</v>
      </c>
      <c r="I36" s="18">
        <f>IFERROR(((E36/$B$112) / AVERAGE('V25'!E36/'V25'!$B$112, 'V26'!E36/'V26'!$B$112, 'V27'!E36/'V27'!$B$112)) * 100,"")</f>
        <v>108.94285346706691</v>
      </c>
      <c r="J36" s="18">
        <f>IFERROR(((F36/$B$112) / AVERAGE('V25'!F36/'V25'!$B$112, 'V26'!F36/'V26'!$B$112, 'V27'!F36/'V27'!$B$112)) * 100,"")</f>
        <v>108.91274825852022</v>
      </c>
      <c r="K36" s="18">
        <f>IFERROR(((G36/$B$112) / AVERAGE('V25'!G36/'V25'!$B$112, 'V26'!G36/'V26'!$B$112, 'V27'!G36/'V27'!$B$112)) * 100,"")</f>
        <v>111.47656127574909</v>
      </c>
    </row>
    <row r="37" spans="1:11">
      <c r="C37" s="2" t="s">
        <v>42</v>
      </c>
    </row>
    <row r="38" spans="1:11">
      <c r="C38" s="2" t="s">
        <v>43</v>
      </c>
    </row>
    <row r="39" spans="1:11">
      <c r="C39" s="2" t="s">
        <v>44</v>
      </c>
    </row>
    <row r="40" spans="1:11">
      <c r="C40" s="9" t="s">
        <v>19</v>
      </c>
      <c r="D40" s="10"/>
      <c r="E40" s="11">
        <f>SUM(E36:E39)</f>
        <v>561</v>
      </c>
      <c r="F40" s="11">
        <f>SUM(F36:F39)</f>
        <v>13248.88</v>
      </c>
      <c r="G40" s="11">
        <f>SUM(G36:G39)</f>
        <v>3016.9</v>
      </c>
      <c r="H40" s="12">
        <f>IFERROR(G40/F40,"")</f>
        <v>0.22770981396163301</v>
      </c>
    </row>
    <row r="41" spans="1:11">
      <c r="B41" s="5" t="s">
        <v>20</v>
      </c>
      <c r="E41" s="16">
        <f>IFERROR((E40-('V27'!E40))/('V27'!E40),"")</f>
        <v>0.29262672811059909</v>
      </c>
      <c r="F41" s="16">
        <f>IFERROR((F40-('V27'!F40))/('V27'!F40),"")</f>
        <v>0.29241730756474332</v>
      </c>
      <c r="G41" s="16">
        <f>IFERROR((G40-('V27'!G40))/('V27'!G40),"")</f>
        <v>0.32463096147597853</v>
      </c>
      <c r="H41" s="16">
        <f>IFERROR(H40-('V27'!H40),"")</f>
        <v>5.5376669823407332E-3</v>
      </c>
    </row>
    <row r="42" spans="1:11">
      <c r="B42" s="5" t="s">
        <v>21</v>
      </c>
      <c r="E42" s="13">
        <f>E40/$B$112</f>
        <v>2.8602018966044661E-2</v>
      </c>
      <c r="F42" s="13">
        <f>F40/$B$112</f>
        <v>0.67548077903538284</v>
      </c>
      <c r="G42" s="13">
        <f>G40/$B$112</f>
        <v>0.15381360252880596</v>
      </c>
    </row>
    <row r="43" spans="1:11">
      <c r="B43" s="5" t="s">
        <v>22</v>
      </c>
      <c r="E43" s="8">
        <f>IFERROR((E42-'V27'!E42)/'V27'!E42,"")</f>
        <v>0.26580409742124378</v>
      </c>
      <c r="F43" s="8">
        <f>IFERROR((F42-'V27'!F42)/'V27'!F42,"")</f>
        <v>0.26559902245314693</v>
      </c>
      <c r="G43" s="8">
        <f>IFERROR((G42-'V27'!G42)/'V27'!G42,"")</f>
        <v>0.29714422744310798</v>
      </c>
    </row>
    <row r="44" spans="1:11">
      <c r="B44" s="5" t="s">
        <v>23</v>
      </c>
      <c r="E44" s="18">
        <f>(E42 / AVERAGE('V25'!E42,'V26'!E42,'V27'!E42)) * 100</f>
        <v>108.94285346706691</v>
      </c>
      <c r="F44" s="18">
        <f>(F42 / AVERAGE('V25'!F42,'V26'!F42,'V27'!F42)) * 100</f>
        <v>108.91274825852022</v>
      </c>
      <c r="G44" s="18">
        <f>(G42 / AVERAGE('V25'!G42,'V26'!G42,'V27'!G42)) * 100</f>
        <v>111.47656127574909</v>
      </c>
      <c r="H44" s="14">
        <f>IFERROR((G44*0.6)+(F44*0.4),"")</f>
        <v>110.45103606885755</v>
      </c>
    </row>
    <row r="45" spans="1:11">
      <c r="A45" s="1">
        <v>5</v>
      </c>
      <c r="C45" s="2" t="s">
        <v>45</v>
      </c>
      <c r="D45" s="2" t="s">
        <v>5</v>
      </c>
      <c r="E45" s="2" t="s">
        <v>6</v>
      </c>
      <c r="F45" s="2" t="s">
        <v>7</v>
      </c>
      <c r="G45" s="2" t="s">
        <v>8</v>
      </c>
      <c r="H45" s="2" t="s">
        <v>9</v>
      </c>
      <c r="I45" s="2" t="s">
        <v>10</v>
      </c>
      <c r="J45" s="2" t="s">
        <v>11</v>
      </c>
      <c r="K45" s="2" t="s">
        <v>12</v>
      </c>
    </row>
    <row r="46" spans="1:11">
      <c r="B46" s="6" t="s">
        <v>46</v>
      </c>
      <c r="C46" s="2" t="s">
        <v>47</v>
      </c>
      <c r="D46" s="5" t="s">
        <v>48</v>
      </c>
      <c r="E46" s="7">
        <v>177</v>
      </c>
      <c r="F46" s="7">
        <v>14018.4</v>
      </c>
      <c r="G46" s="7">
        <v>1628.4</v>
      </c>
      <c r="H46" s="8">
        <f>IFERROR(G46/F46,"")</f>
        <v>0.11616161616161617</v>
      </c>
      <c r="I46" s="18">
        <f>IFERROR(((E46/$B$112) / AVERAGE('V25'!E46/'V25'!$B$112, 'V26'!E46/'V26'!$B$112, 'V27'!E46/'V27'!$B$112)) * 100,"")</f>
        <v>73.278529504685991</v>
      </c>
      <c r="J46" s="18">
        <f>IFERROR(((F46/$B$112) / AVERAGE('V25'!F46/'V25'!$B$112, 'V26'!F46/'V26'!$B$112, 'V27'!F46/'V27'!$B$112)) * 100,"")</f>
        <v>80.383557986721499</v>
      </c>
      <c r="K46" s="18">
        <f>IFERROR(((G46/$B$112) / AVERAGE('V25'!G46/'V25'!$B$112, 'V26'!G46/'V26'!$B$112, 'V27'!G46/'V27'!$B$112)) * 100,"")</f>
        <v>2916.9304747467604</v>
      </c>
    </row>
    <row r="47" spans="1:11">
      <c r="C47" s="2" t="s">
        <v>49</v>
      </c>
    </row>
    <row r="48" spans="1:11">
      <c r="C48" s="2" t="s">
        <v>50</v>
      </c>
    </row>
    <row r="49" spans="1:11">
      <c r="C49" s="2" t="s">
        <v>51</v>
      </c>
    </row>
    <row r="50" spans="1:11">
      <c r="C50" s="9" t="s">
        <v>19</v>
      </c>
      <c r="D50" s="10"/>
      <c r="E50" s="11">
        <f>SUM(E46:E49)</f>
        <v>177</v>
      </c>
      <c r="F50" s="11">
        <f>SUM(F46:F49)</f>
        <v>14018.4</v>
      </c>
      <c r="G50" s="11">
        <f>SUM(G46:G49)</f>
        <v>1628.4</v>
      </c>
      <c r="H50" s="12">
        <f>IFERROR(G50/F50,"")</f>
        <v>0.11616161616161617</v>
      </c>
    </row>
    <row r="51" spans="1:11">
      <c r="B51" s="5" t="s">
        <v>20</v>
      </c>
      <c r="E51" s="16">
        <f>IFERROR((E50-('V27'!E50))/('V27'!E50),"")</f>
        <v>-0.28629032258064518</v>
      </c>
      <c r="F51" s="16">
        <f>IFERROR((F50-('V27'!F50))/('V27'!F50),"")</f>
        <v>-0.2220574655490837</v>
      </c>
      <c r="G51" s="16">
        <f>IFERROR((G50-('V27'!G50))/('V27'!G50),"")</f>
        <v>1.467870999030068</v>
      </c>
      <c r="H51" s="16">
        <f>IFERROR(H50-('V27'!H50),"")</f>
        <v>7.9544198914848166E-2</v>
      </c>
    </row>
    <row r="52" spans="1:11">
      <c r="B52" s="5" t="s">
        <v>21</v>
      </c>
      <c r="E52" s="13">
        <f>E50/$B$112</f>
        <v>9.0241664117467115E-3</v>
      </c>
      <c r="F52" s="13">
        <f>F50/$B$112</f>
        <v>0.71471397981033957</v>
      </c>
      <c r="G52" s="13">
        <f>G50/$B$112</f>
        <v>8.3022330988069756E-2</v>
      </c>
    </row>
    <row r="53" spans="1:11">
      <c r="B53" s="5" t="s">
        <v>22</v>
      </c>
      <c r="E53" s="8">
        <f>IFERROR((E52-'V27'!E52)/'V27'!E52,"")</f>
        <v>-0.30110014407089075</v>
      </c>
      <c r="F53" s="8">
        <f>IFERROR((F52-'V27'!F52)/'V27'!F52,"")</f>
        <v>-0.23820014993378458</v>
      </c>
      <c r="G53" s="8">
        <f>IFERROR((G52-'V27'!G52)/'V27'!G52,"")</f>
        <v>1.4166614804920217</v>
      </c>
    </row>
    <row r="54" spans="1:11">
      <c r="B54" s="5" t="s">
        <v>23</v>
      </c>
      <c r="E54" s="18">
        <f>(E52 / AVERAGE('V25'!E52,'V26'!E52,'V27'!E52)) * 100</f>
        <v>73.278529504685991</v>
      </c>
      <c r="F54" s="18">
        <f>(F52 / AVERAGE('V25'!F52,'V26'!F52,'V27'!F52)) * 100</f>
        <v>80.383557986721499</v>
      </c>
      <c r="G54" s="18">
        <f>(G52 / AVERAGE('V25'!G52,'V26'!G52,'V27'!G52)) * 100</f>
        <v>2916.9304747467604</v>
      </c>
      <c r="H54" s="14">
        <f>IFERROR((G54*0.6)+(F54*0.4),"")</f>
        <v>1782.3117080427448</v>
      </c>
    </row>
    <row r="55" spans="1:11">
      <c r="A55" s="1">
        <v>6</v>
      </c>
      <c r="C55" s="2" t="s">
        <v>52</v>
      </c>
      <c r="D55" s="2" t="s">
        <v>5</v>
      </c>
      <c r="E55" s="2" t="s">
        <v>6</v>
      </c>
      <c r="F55" s="2" t="s">
        <v>7</v>
      </c>
      <c r="G55" s="2" t="s">
        <v>8</v>
      </c>
      <c r="H55" s="2" t="s">
        <v>9</v>
      </c>
      <c r="I55" s="2" t="s">
        <v>10</v>
      </c>
      <c r="J55" s="2" t="s">
        <v>11</v>
      </c>
      <c r="K55" s="2" t="s">
        <v>12</v>
      </c>
    </row>
    <row r="56" spans="1:11">
      <c r="B56" s="6" t="s">
        <v>53</v>
      </c>
      <c r="C56" s="2" t="s">
        <v>54</v>
      </c>
      <c r="D56" s="5" t="s">
        <v>55</v>
      </c>
      <c r="E56" s="7">
        <v>152</v>
      </c>
      <c r="F56" s="7">
        <v>6195.52</v>
      </c>
      <c r="G56" s="7">
        <v>1331.52</v>
      </c>
      <c r="H56" s="8">
        <f>IFERROR(G56/F56,"")</f>
        <v>0.21491658488714424</v>
      </c>
      <c r="I56" s="18">
        <f>IFERROR(((E56/$B$112) / AVERAGE('V25'!E56/'V25'!$B$112, 'V26'!E56/'V26'!$B$112, 'V27'!E56/'V27'!$B$112)) * 100,"")</f>
        <v>80.419463440653743</v>
      </c>
      <c r="J56" s="18">
        <f>IFERROR(((F56/$B$112) / AVERAGE('V25'!F56/'V25'!$B$112, 'V26'!F56/'V26'!$B$112, 'V27'!F56/'V27'!$B$112)) * 100,"")</f>
        <v>80.426712794086484</v>
      </c>
      <c r="K56" s="18">
        <f>IFERROR(((G56/$B$112) / AVERAGE('V25'!G56/'V25'!$B$112, 'V26'!G56/'V26'!$B$112, 'V27'!G56/'V27'!$B$112)) * 100,"")</f>
        <v>80.453205561543697</v>
      </c>
    </row>
    <row r="57" spans="1:11">
      <c r="C57" s="2" t="s">
        <v>56</v>
      </c>
    </row>
    <row r="58" spans="1:11">
      <c r="C58" s="2" t="s">
        <v>57</v>
      </c>
    </row>
    <row r="59" spans="1:11">
      <c r="C59" s="2" t="s">
        <v>58</v>
      </c>
    </row>
    <row r="60" spans="1:11">
      <c r="C60" s="9" t="s">
        <v>19</v>
      </c>
      <c r="D60" s="10"/>
      <c r="E60" s="11">
        <f>SUM(E56:E59)</f>
        <v>152</v>
      </c>
      <c r="F60" s="11">
        <f>SUM(F56:F59)</f>
        <v>6195.52</v>
      </c>
      <c r="G60" s="11">
        <f>SUM(G56:G59)</f>
        <v>1331.52</v>
      </c>
      <c r="H60" s="12">
        <f>IFERROR(G60/F60,"")</f>
        <v>0.21491658488714424</v>
      </c>
    </row>
    <row r="61" spans="1:11">
      <c r="B61" s="5" t="s">
        <v>20</v>
      </c>
      <c r="E61" s="16">
        <f>IFERROR((E60-('V27'!E60))/('V27'!E60),"")</f>
        <v>0</v>
      </c>
      <c r="F61" s="16">
        <f>IFERROR((F60-('V27'!F60))/('V27'!F60),"")</f>
        <v>3.2937863688925663E-4</v>
      </c>
      <c r="G61" s="16">
        <f>IFERROR((G60-('V27'!G60))/('V27'!G60),"")</f>
        <v>1.5344345157504917E-3</v>
      </c>
      <c r="H61" s="16">
        <f>IFERROR(H60-('V27'!H60),"")</f>
        <v>2.5858970511408175E-4</v>
      </c>
    </row>
    <row r="62" spans="1:11">
      <c r="B62" s="5" t="s">
        <v>21</v>
      </c>
      <c r="E62" s="13">
        <f>E60/$B$112</f>
        <v>7.7495666360762718E-3</v>
      </c>
      <c r="F62" s="13">
        <f>F60/$B$112</f>
        <v>0.31587233608646886</v>
      </c>
      <c r="G62" s="13">
        <f>G60/$B$112</f>
        <v>6.7886203732028139E-2</v>
      </c>
    </row>
    <row r="63" spans="1:11">
      <c r="B63" s="5" t="s">
        <v>22</v>
      </c>
      <c r="E63" s="8">
        <f>IFERROR((E62-'V27'!E62)/'V27'!E62,"")</f>
        <v>-2.0750484347914686E-2</v>
      </c>
      <c r="F63" s="8">
        <f>IFERROR((F62-'V27'!F62)/'V27'!F62,"")</f>
        <v>-2.0427940477274746E-2</v>
      </c>
      <c r="G63" s="8">
        <f>IFERROR((G62-'V27'!G62)/'V27'!G62,"")</f>
        <v>-1.9247890091566345E-2</v>
      </c>
    </row>
    <row r="64" spans="1:11">
      <c r="B64" s="5" t="s">
        <v>23</v>
      </c>
      <c r="E64" s="18">
        <f>(E62 / AVERAGE('V25'!E62,'V26'!E62,'V27'!E62)) * 100</f>
        <v>80.419463440653743</v>
      </c>
      <c r="F64" s="18">
        <f>(F62 / AVERAGE('V25'!F62,'V26'!F62,'V27'!F62)) * 100</f>
        <v>80.426712794086484</v>
      </c>
      <c r="G64" s="18">
        <f>(G62 / AVERAGE('V25'!G62,'V26'!G62,'V27'!G62)) * 100</f>
        <v>80.453205561543697</v>
      </c>
      <c r="H64" s="14">
        <f>IFERROR((G64*0.6)+(F64*0.4),"")</f>
        <v>80.442608454560812</v>
      </c>
    </row>
    <row r="65" spans="1:11">
      <c r="A65" s="1">
        <v>7</v>
      </c>
      <c r="C65" s="2" t="s">
        <v>59</v>
      </c>
      <c r="D65" s="2" t="s">
        <v>5</v>
      </c>
      <c r="E65" s="2" t="s">
        <v>6</v>
      </c>
      <c r="F65" s="2" t="s">
        <v>7</v>
      </c>
      <c r="G65" s="2" t="s">
        <v>8</v>
      </c>
      <c r="H65" s="2" t="s">
        <v>9</v>
      </c>
      <c r="I65" s="2" t="s">
        <v>10</v>
      </c>
      <c r="J65" s="2" t="s">
        <v>11</v>
      </c>
      <c r="K65" s="2" t="s">
        <v>12</v>
      </c>
    </row>
    <row r="66" spans="1:11">
      <c r="B66" s="6" t="s">
        <v>60</v>
      </c>
      <c r="C66" s="2" t="s">
        <v>61</v>
      </c>
      <c r="D66" s="5" t="s">
        <v>62</v>
      </c>
      <c r="E66" s="7">
        <v>145</v>
      </c>
      <c r="F66" s="7">
        <v>3008.12</v>
      </c>
      <c r="G66" s="7">
        <v>695.37</v>
      </c>
      <c r="H66" s="8">
        <f>IFERROR(G66/F66,"")</f>
        <v>0.23116431525338085</v>
      </c>
      <c r="I66" s="18">
        <f>IFERROR(((E66/$B$112) / AVERAGE('V25'!E66/'V25'!$B$112, 'V26'!E66/'V26'!$B$112, 'V27'!E66/'V27'!$B$112)) * 100,"")</f>
        <v>142.17316860045167</v>
      </c>
      <c r="J66" s="18">
        <f>IFERROR(((F66/$B$112) / AVERAGE('V25'!F66/'V25'!$B$112, 'V26'!F66/'V26'!$B$112, 'V27'!F66/'V27'!$B$112)) * 100,"")</f>
        <v>142.24118142960955</v>
      </c>
      <c r="K66" s="18">
        <f>IFERROR(((G66/$B$112) / AVERAGE('V25'!G66/'V25'!$B$112, 'V26'!G66/'V26'!$B$112, 'V27'!G66/'V27'!$B$112)) * 100,"")</f>
        <v>142.46785601302733</v>
      </c>
    </row>
    <row r="67" spans="1:11">
      <c r="C67" s="2" t="s">
        <v>63</v>
      </c>
    </row>
    <row r="68" spans="1:11">
      <c r="C68" s="2" t="s">
        <v>64</v>
      </c>
    </row>
    <row r="69" spans="1:11">
      <c r="C69" s="2" t="s">
        <v>65</v>
      </c>
    </row>
    <row r="70" spans="1:11">
      <c r="C70" s="9" t="s">
        <v>19</v>
      </c>
      <c r="D70" s="10"/>
      <c r="E70" s="11">
        <f>SUM(E66:E69)</f>
        <v>145</v>
      </c>
      <c r="F70" s="11">
        <f>SUM(F66:F69)</f>
        <v>3008.12</v>
      </c>
      <c r="G70" s="11">
        <f>SUM(G66:G69)</f>
        <v>695.37</v>
      </c>
      <c r="H70" s="12">
        <f>IFERROR(G70/F70,"")</f>
        <v>0.23116431525338085</v>
      </c>
    </row>
    <row r="71" spans="1:11">
      <c r="B71" s="5" t="s">
        <v>20</v>
      </c>
      <c r="E71" s="16">
        <f>IFERROR((E70-('V27'!E70))/('V27'!E70),"")</f>
        <v>-2.6845637583892617E-2</v>
      </c>
      <c r="F71" s="16">
        <f>IFERROR((F70-('V27'!F70))/('V27'!F70),"")</f>
        <v>-2.5227076089527737E-2</v>
      </c>
      <c r="G71" s="16">
        <f>IFERROR((G70-('V27'!G70))/('V27'!G70),"")</f>
        <v>-1.9804911054100469E-2</v>
      </c>
      <c r="H71" s="16">
        <f>IFERROR(H70-('V27'!H70),"")</f>
        <v>1.278736326819685E-3</v>
      </c>
    </row>
    <row r="72" spans="1:11">
      <c r="B72" s="5" t="s">
        <v>21</v>
      </c>
      <c r="E72" s="13">
        <f>E70/$B$112</f>
        <v>7.3926786988885492E-3</v>
      </c>
      <c r="F72" s="13">
        <f>F70/$B$112</f>
        <v>0.15336596308759048</v>
      </c>
      <c r="G72" s="13">
        <f>G70/$B$112</f>
        <v>3.545273784031814E-2</v>
      </c>
    </row>
    <row r="73" spans="1:11">
      <c r="B73" s="5" t="s">
        <v>22</v>
      </c>
      <c r="E73" s="8">
        <f>IFERROR((E72-'V27'!E72)/'V27'!E72,"")</f>
        <v>-4.703906194931301E-2</v>
      </c>
      <c r="F73" s="8">
        <f>IFERROR((F72-'V27'!F72)/'V27'!F72,"")</f>
        <v>-4.5454086389903073E-2</v>
      </c>
      <c r="G73" s="8">
        <f>IFERROR((G72-'V27'!G72)/'V27'!G72,"")</f>
        <v>-4.0144433905175317E-2</v>
      </c>
    </row>
    <row r="74" spans="1:11">
      <c r="B74" s="5" t="s">
        <v>23</v>
      </c>
      <c r="E74" s="18">
        <f>(E72 / AVERAGE('V25'!E72,'V26'!E72,'V27'!E72)) * 100</f>
        <v>142.17316860045167</v>
      </c>
      <c r="F74" s="18">
        <f>(F72 / AVERAGE('V25'!F72,'V26'!F72,'V27'!F72)) * 100</f>
        <v>142.24118142960955</v>
      </c>
      <c r="G74" s="18">
        <f>(G72 / AVERAGE('V25'!G72,'V26'!G72,'V27'!G72)) * 100</f>
        <v>142.46785601302733</v>
      </c>
      <c r="H74" s="14">
        <f>IFERROR((G74*0.6)+(F74*0.4),"")</f>
        <v>142.37718617966021</v>
      </c>
    </row>
    <row r="75" spans="1:11">
      <c r="A75" s="1">
        <v>8</v>
      </c>
      <c r="C75" s="2" t="s">
        <v>66</v>
      </c>
      <c r="D75" s="2" t="s">
        <v>5</v>
      </c>
      <c r="E75" s="2" t="s">
        <v>6</v>
      </c>
      <c r="F75" s="2" t="s">
        <v>7</v>
      </c>
      <c r="G75" s="2" t="s">
        <v>8</v>
      </c>
      <c r="H75" s="2" t="s">
        <v>9</v>
      </c>
      <c r="I75" s="2" t="s">
        <v>10</v>
      </c>
      <c r="J75" s="2" t="s">
        <v>11</v>
      </c>
      <c r="K75" s="2" t="s">
        <v>12</v>
      </c>
    </row>
    <row r="76" spans="1:11">
      <c r="B76" s="6" t="s">
        <v>67</v>
      </c>
      <c r="C76" s="2" t="s">
        <v>68</v>
      </c>
      <c r="D76" s="5" t="s">
        <v>69</v>
      </c>
      <c r="E76" s="7">
        <v>43</v>
      </c>
      <c r="F76" s="7">
        <v>1374.28</v>
      </c>
      <c r="G76" s="7">
        <v>299.27999999999997</v>
      </c>
      <c r="H76" s="8">
        <f>IFERROR(G76/F76,"")</f>
        <v>0.21777221526908636</v>
      </c>
      <c r="I76" s="18">
        <f>IFERROR(((E76/$B$112) / AVERAGE('V25'!E76/'V25'!$B$112, 'V26'!E76/'V26'!$B$112, 'V27'!E76/'V27'!$B$112)) * 100,"")</f>
        <v>79.697082898853239</v>
      </c>
      <c r="J76" s="18">
        <f>IFERROR(((F76/$B$112) / AVERAGE('V25'!F76/'V25'!$B$112, 'V26'!F76/'V26'!$B$112, 'V27'!F76/'V27'!$B$112)) * 100,"")</f>
        <v>79.854836671450059</v>
      </c>
      <c r="K76" s="18">
        <f>IFERROR(((G76/$B$112) / AVERAGE('V25'!G76/'V25'!$B$112, 'V26'!G76/'V26'!$B$112, 'V27'!G76/'V27'!$B$112)) * 100,"")</f>
        <v>80.426668303845815</v>
      </c>
    </row>
    <row r="77" spans="1:11">
      <c r="C77" s="2" t="s">
        <v>70</v>
      </c>
    </row>
    <row r="78" spans="1:11">
      <c r="C78" s="2" t="s">
        <v>71</v>
      </c>
    </row>
    <row r="79" spans="1:11">
      <c r="C79" s="2" t="s">
        <v>72</v>
      </c>
    </row>
    <row r="80" spans="1:11">
      <c r="C80" s="9" t="s">
        <v>19</v>
      </c>
      <c r="D80" s="10"/>
      <c r="E80" s="11">
        <f>SUM(E76:E79)</f>
        <v>43</v>
      </c>
      <c r="F80" s="11">
        <f>SUM(F76:F79)</f>
        <v>1374.28</v>
      </c>
      <c r="G80" s="11">
        <f>SUM(G76:G79)</f>
        <v>299.27999999999997</v>
      </c>
      <c r="H80" s="12">
        <f>IFERROR(G80/F80,"")</f>
        <v>0.21777221526908636</v>
      </c>
    </row>
    <row r="81" spans="1:11">
      <c r="B81" s="5" t="s">
        <v>20</v>
      </c>
      <c r="E81" s="16">
        <f>IFERROR((E80-('V27'!E80))/('V27'!E80),"")</f>
        <v>-0.10416666666666667</v>
      </c>
      <c r="F81" s="16">
        <f>IFERROR((F80-('V27'!F80))/('V27'!F80),"")</f>
        <v>-0.10323136354144918</v>
      </c>
      <c r="G81" s="16">
        <f>IFERROR((G80-('V27'!G80))/('V27'!G80),"")</f>
        <v>-9.9855630413859614E-2</v>
      </c>
      <c r="H81" s="16">
        <f>IFERROR(H80-('V27'!H80),"")</f>
        <v>8.1669219537575111E-4</v>
      </c>
    </row>
    <row r="82" spans="1:11">
      <c r="B82" s="5" t="s">
        <v>21</v>
      </c>
      <c r="E82" s="13">
        <f>E80/$B$112</f>
        <v>2.192311614153156E-3</v>
      </c>
      <c r="F82" s="13">
        <f>F80/$B$112</f>
        <v>7.0066279188334857E-2</v>
      </c>
      <c r="G82" s="13">
        <f>G80/$B$112</f>
        <v>1.5258488834505963E-2</v>
      </c>
    </row>
    <row r="83" spans="1:11">
      <c r="B83" s="5" t="s">
        <v>22</v>
      </c>
      <c r="E83" s="8">
        <f>IFERROR((E82-'V27'!E82)/'V27'!E82,"")</f>
        <v>-0.1227556422283403</v>
      </c>
      <c r="F83" s="8">
        <f>IFERROR((F82-'V27'!F82)/'V27'!F82,"")</f>
        <v>-0.12183974709598326</v>
      </c>
      <c r="G83" s="8">
        <f>IFERROR((G82-'V27'!G82)/'V27'!G82,"")</f>
        <v>-0.11853406206582043</v>
      </c>
    </row>
    <row r="84" spans="1:11">
      <c r="B84" s="5" t="s">
        <v>23</v>
      </c>
      <c r="E84" s="18">
        <f>(E82 / AVERAGE('V25'!E82,'V26'!E82,'V27'!E82)) * 100</f>
        <v>79.697082898853239</v>
      </c>
      <c r="F84" s="18">
        <f>(F82 / AVERAGE('V25'!F82,'V26'!F82,'V27'!F82)) * 100</f>
        <v>79.854836671450059</v>
      </c>
      <c r="G84" s="18">
        <f>(G82 / AVERAGE('V25'!G82,'V26'!G82,'V27'!G82)) * 100</f>
        <v>80.426668303845815</v>
      </c>
      <c r="H84" s="14">
        <f>IFERROR((G84*0.6)+(F84*0.4),"")</f>
        <v>80.197935650887516</v>
      </c>
    </row>
    <row r="85" spans="1:11">
      <c r="A85" s="1">
        <v>9</v>
      </c>
      <c r="C85" s="2" t="s">
        <v>73</v>
      </c>
      <c r="D85" s="2" t="s">
        <v>5</v>
      </c>
      <c r="E85" s="2" t="s">
        <v>6</v>
      </c>
      <c r="F85" s="2" t="s">
        <v>7</v>
      </c>
      <c r="G85" s="2" t="s">
        <v>8</v>
      </c>
      <c r="H85" s="2" t="s">
        <v>9</v>
      </c>
      <c r="I85" s="2" t="s">
        <v>10</v>
      </c>
      <c r="J85" s="2" t="s">
        <v>11</v>
      </c>
      <c r="K85" s="2" t="s">
        <v>12</v>
      </c>
    </row>
    <row r="86" spans="1:11">
      <c r="B86" s="6" t="s">
        <v>74</v>
      </c>
      <c r="C86" s="2" t="s">
        <v>75</v>
      </c>
      <c r="D86" s="5" t="s">
        <v>76</v>
      </c>
      <c r="E86" s="7">
        <v>204</v>
      </c>
      <c r="F86" s="7">
        <v>7342.2</v>
      </c>
      <c r="G86" s="7">
        <v>1226.28</v>
      </c>
      <c r="H86" s="8">
        <f>IFERROR(G86/F86,"")</f>
        <v>0.16701805998202174</v>
      </c>
      <c r="I86" s="18">
        <f>IFERROR(((E86/$B$112) / AVERAGE('V25'!E86/'V25'!$B$112, 'V26'!E86/'V26'!$B$112, 'V27'!E86/'V27'!$B$112)) * 100,"")</f>
        <v>90.258930271729838</v>
      </c>
      <c r="J86" s="18">
        <f>IFERROR(((F86/$B$112) / AVERAGE('V25'!F86/'V25'!$B$112, 'V26'!F86/'V26'!$B$112, 'V27'!F86/'V27'!$B$112)) * 100,"")</f>
        <v>90.236807984898519</v>
      </c>
      <c r="K86" s="18">
        <f>IFERROR(((G86/$B$112) / AVERAGE('V25'!G86/'V25'!$B$112, 'V26'!G86/'V26'!$B$112, 'V27'!G86/'V27'!$B$112)) * 100,"")</f>
        <v>87.758719809636446</v>
      </c>
    </row>
    <row r="87" spans="1:11">
      <c r="C87" s="2" t="s">
        <v>77</v>
      </c>
    </row>
    <row r="88" spans="1:11">
      <c r="C88" s="2" t="s">
        <v>78</v>
      </c>
    </row>
    <row r="89" spans="1:11">
      <c r="C89" s="2" t="s">
        <v>79</v>
      </c>
    </row>
    <row r="90" spans="1:11">
      <c r="C90" s="9" t="s">
        <v>19</v>
      </c>
      <c r="D90" s="10"/>
      <c r="E90" s="11">
        <f>SUM(E86:E89)</f>
        <v>204</v>
      </c>
      <c r="F90" s="11">
        <f>SUM(F86:F89)</f>
        <v>7342.2</v>
      </c>
      <c r="G90" s="11">
        <f>SUM(G86:G89)</f>
        <v>1226.28</v>
      </c>
      <c r="H90" s="12">
        <f>IFERROR(G90/F90,"")</f>
        <v>0.16701805998202174</v>
      </c>
    </row>
    <row r="91" spans="1:11">
      <c r="B91" s="5" t="s">
        <v>20</v>
      </c>
      <c r="E91" s="16">
        <f>IFERROR((E90-('V27'!E90))/('V27'!E90),"")</f>
        <v>-9.3333333333333338E-2</v>
      </c>
      <c r="F91" s="16">
        <f>IFERROR((F90-('V27'!F90))/('V27'!F90),"")</f>
        <v>-9.3555555555555572E-2</v>
      </c>
      <c r="G91" s="16">
        <f>IFERROR((G90-('V27'!G90))/('V27'!G90),"")</f>
        <v>-9.4662236987818407E-2</v>
      </c>
      <c r="H91" s="16">
        <f>IFERROR(H90-('V27'!H90),"")</f>
        <v>-2.0416224020047835E-4</v>
      </c>
    </row>
    <row r="92" spans="1:11">
      <c r="B92" s="5" t="s">
        <v>21</v>
      </c>
      <c r="E92" s="13">
        <f>E90/$B$112</f>
        <v>1.0400734169470786E-2</v>
      </c>
      <c r="F92" s="13">
        <f>F90/$B$112</f>
        <v>0.37433465891709999</v>
      </c>
      <c r="G92" s="13">
        <f>G90/$B$112</f>
        <v>6.2520648516365865E-2</v>
      </c>
    </row>
    <row r="93" spans="1:11">
      <c r="B93" s="5" t="s">
        <v>22</v>
      </c>
      <c r="E93" s="8">
        <f>IFERROR((E92-'V27'!E92)/'V27'!E92,"")</f>
        <v>-0.11214710580877602</v>
      </c>
      <c r="F93" s="8">
        <f>IFERROR((F92-'V27'!F92)/'V27'!F92,"")</f>
        <v>-0.11236471681225434</v>
      </c>
      <c r="G93" s="8">
        <f>IFERROR((G92-'V27'!G92)/'V27'!G92,"")</f>
        <v>-0.1134484340687788</v>
      </c>
    </row>
    <row r="94" spans="1:11">
      <c r="B94" s="5" t="s">
        <v>23</v>
      </c>
      <c r="E94" s="18">
        <f>(E92 / AVERAGE('V25'!E92,'V26'!E92,'V27'!E92)) * 100</f>
        <v>90.258930271729838</v>
      </c>
      <c r="F94" s="18">
        <f>(F92 / AVERAGE('V25'!F92,'V26'!F92,'V27'!F92)) * 100</f>
        <v>90.236807984898519</v>
      </c>
      <c r="G94" s="18">
        <f>(G92 / AVERAGE('V25'!G92,'V26'!G92,'V27'!G92)) * 100</f>
        <v>87.758719809636446</v>
      </c>
      <c r="H94" s="14">
        <f>IFERROR((G94*0.6)+(F94*0.4),"")</f>
        <v>88.749955079741284</v>
      </c>
    </row>
    <row r="95" spans="1:11">
      <c r="A95" s="1">
        <v>10</v>
      </c>
      <c r="C95" s="2" t="s">
        <v>80</v>
      </c>
      <c r="D95" s="2" t="s">
        <v>5</v>
      </c>
      <c r="E95" s="2" t="s">
        <v>6</v>
      </c>
      <c r="F95" s="2" t="s">
        <v>7</v>
      </c>
      <c r="G95" s="2" t="s">
        <v>8</v>
      </c>
      <c r="H95" s="2" t="s">
        <v>9</v>
      </c>
      <c r="I95" s="2" t="s">
        <v>10</v>
      </c>
      <c r="J95" s="2" t="s">
        <v>11</v>
      </c>
      <c r="K95" s="2" t="s">
        <v>12</v>
      </c>
    </row>
    <row r="96" spans="1:11">
      <c r="B96" s="6" t="s">
        <v>81</v>
      </c>
      <c r="C96" s="2" t="s">
        <v>82</v>
      </c>
      <c r="D96" s="5" t="s">
        <v>83</v>
      </c>
      <c r="E96" s="7">
        <v>242</v>
      </c>
      <c r="F96" s="7">
        <v>8712</v>
      </c>
      <c r="G96" s="7">
        <v>1456.84</v>
      </c>
      <c r="H96" s="8">
        <f>IFERROR(G96/F96,"")</f>
        <v>0.16722222222222222</v>
      </c>
      <c r="I96" s="18">
        <f>IFERROR(((E96/$B$112) / AVERAGE('V25'!E96/'V25'!$B$112, 'V26'!E96/'V26'!$B$112, 'V27'!E96/'V27'!$B$112)) * 100,"")</f>
        <v>87.810235814142899</v>
      </c>
      <c r="J96" s="18">
        <f>IFERROR(((F96/$B$112) / AVERAGE('V25'!F96/'V25'!$B$112, 'V26'!F96/'V26'!$B$112, 'V27'!F96/'V27'!$B$112)) * 100,"")</f>
        <v>87.827312376573659</v>
      </c>
      <c r="K96" s="18">
        <f>IFERROR(((G96/$B$112) / AVERAGE('V25'!G96/'V25'!$B$112, 'V26'!G96/'V26'!$B$112, 'V27'!G96/'V27'!$B$112)) * 100,"")</f>
        <v>85.204145019004827</v>
      </c>
    </row>
    <row r="97" spans="2:8">
      <c r="C97" s="2" t="s">
        <v>84</v>
      </c>
    </row>
    <row r="98" spans="2:8">
      <c r="C98" s="2" t="s">
        <v>85</v>
      </c>
    </row>
    <row r="99" spans="2:8">
      <c r="C99" s="2" t="s">
        <v>86</v>
      </c>
    </row>
    <row r="100" spans="2:8">
      <c r="C100" s="9" t="s">
        <v>19</v>
      </c>
      <c r="D100" s="10"/>
      <c r="E100" s="11">
        <f>SUM(E96:E99)</f>
        <v>242</v>
      </c>
      <c r="F100" s="11">
        <f>SUM(F96:F99)</f>
        <v>8712</v>
      </c>
      <c r="G100" s="11">
        <f>SUM(G96:G99)</f>
        <v>1456.84</v>
      </c>
      <c r="H100" s="12">
        <f>IFERROR(G100/F100,"")</f>
        <v>0.16722222222222222</v>
      </c>
    </row>
    <row r="101" spans="2:8">
      <c r="B101" s="5" t="s">
        <v>20</v>
      </c>
      <c r="E101" s="16">
        <f>IFERROR((E100-('V27'!E100))/('V27'!E100),"")</f>
        <v>-5.46875E-2</v>
      </c>
      <c r="F101" s="16">
        <f>IFERROR((F100-('V27'!F100))/('V27'!F100),"")</f>
        <v>-5.46875E-2</v>
      </c>
      <c r="G101" s="16">
        <f>IFERROR((G100-('V27'!G100))/('V27'!G100),"")</f>
        <v>-5.4687499999999986E-2</v>
      </c>
      <c r="H101" s="16">
        <f>IFERROR(H100-('V27'!H100),"")</f>
        <v>0</v>
      </c>
    </row>
    <row r="102" spans="2:8">
      <c r="B102" s="5" t="s">
        <v>21</v>
      </c>
      <c r="E102" s="13">
        <f>E100/$B$112</f>
        <v>1.2338125828489855E-2</v>
      </c>
      <c r="F102" s="13">
        <f>F100/$B$112</f>
        <v>0.44417252982563477</v>
      </c>
      <c r="G102" s="13">
        <f>G100/$B$112</f>
        <v>7.4275517487508921E-2</v>
      </c>
    </row>
    <row r="103" spans="2:8">
      <c r="B103" s="5" t="s">
        <v>22</v>
      </c>
      <c r="E103" s="8">
        <f>IFERROR((E102-'V27'!E102)/'V27'!E102,"")</f>
        <v>-7.4303192235138163E-2</v>
      </c>
      <c r="F103" s="8">
        <f>IFERROR((F102-'V27'!F102)/'V27'!F102,"")</f>
        <v>-7.430319223513808E-2</v>
      </c>
      <c r="G103" s="8">
        <f>IFERROR((G102-'V27'!G102)/'V27'!G102,"")</f>
        <v>-7.4303192235138121E-2</v>
      </c>
    </row>
    <row r="104" spans="2:8">
      <c r="B104" s="5" t="s">
        <v>23</v>
      </c>
      <c r="E104" s="18">
        <f>(E102 / AVERAGE('V25'!E102,'V26'!E102,'V27'!E102)) * 100</f>
        <v>87.810235814142899</v>
      </c>
      <c r="F104" s="18">
        <f>(F102 / AVERAGE('V25'!F102,'V26'!F102,'V27'!F102)) * 100</f>
        <v>87.827312376573659</v>
      </c>
      <c r="G104" s="18">
        <f>(G102 / AVERAGE('V25'!G102,'V26'!G102,'V27'!G102)) * 100</f>
        <v>85.204145019004827</v>
      </c>
      <c r="H104" s="14">
        <f>IFERROR((G104*0.6)+(F104*0.4),"")</f>
        <v>86.253411962032359</v>
      </c>
    </row>
    <row r="106" spans="2:8">
      <c r="B106" s="2" t="s">
        <v>87</v>
      </c>
      <c r="E106" s="15">
        <f>E10+E20+E30+E40+E50+E60+E70+E80+E90+E100</f>
        <v>2361</v>
      </c>
      <c r="F106" s="15">
        <f>F10+F20+F30+F40+F50+F60+F70+F80+F90+F100</f>
        <v>75380.680000000008</v>
      </c>
      <c r="G106" s="15">
        <f>G10+G20+G30+G40+G50+G60+G70+G80+G90+G100</f>
        <v>14249.480000000001</v>
      </c>
      <c r="H106" s="16">
        <f>IFERROR(G106/F106,"")</f>
        <v>0.18903358261029218</v>
      </c>
    </row>
    <row r="107" spans="2:8">
      <c r="B107" s="5" t="s">
        <v>88</v>
      </c>
      <c r="E107" s="16">
        <f>IFERROR((E106-'V27'!E106)/'V27'!E106,"")</f>
        <v>3.1004366812227076E-2</v>
      </c>
      <c r="F107" s="16">
        <f>IFERROR((F106-'V27'!F106)/'V27'!F106,"")</f>
        <v>-3.2306399480546574E-2</v>
      </c>
      <c r="G107" s="16">
        <f>IFERROR((G106-'V27'!G106)/'V27'!G106,"")</f>
        <v>0.13897705736737234</v>
      </c>
      <c r="H107" s="16">
        <f>IFERROR(H106-'V27'!H106,"")</f>
        <v>2.8427548457101187E-2</v>
      </c>
    </row>
    <row r="108" spans="2:8">
      <c r="B108" s="5" t="s">
        <v>21</v>
      </c>
      <c r="E108" s="13">
        <f>E106/$B$112</f>
        <v>0.12037320281431631</v>
      </c>
      <c r="F108" s="13">
        <f>F106/$B$112</f>
        <v>3.8432079127154077</v>
      </c>
      <c r="G108" s="13">
        <f>G106/$B$112</f>
        <v>0.72649536045681662</v>
      </c>
    </row>
    <row r="109" spans="2:8">
      <c r="B109" s="5" t="s">
        <v>22</v>
      </c>
      <c r="E109" s="8">
        <f>IFERROR((E108-'V27'!E108)/'V27'!E108,"")</f>
        <v>9.6105268360582256E-3</v>
      </c>
      <c r="F109" s="8">
        <f>IFERROR((F108-'V27'!F108)/'V27'!F108,"")</f>
        <v>-5.238651039170282E-2</v>
      </c>
      <c r="G109" s="8">
        <f>IFERROR((G108-'V27'!G108)/'V27'!G108,"")</f>
        <v>0.11534273176583666</v>
      </c>
    </row>
    <row r="110" spans="2:8">
      <c r="B110" s="5" t="s">
        <v>23</v>
      </c>
      <c r="E110" s="18">
        <f>IFERROR((E108 / AVERAGE('V25'!E108,'V26'!E108,'V27'!E108)) * 100,"")</f>
        <v>95.518259588858825</v>
      </c>
      <c r="F110" s="18">
        <f>IFERROR((F108 / AVERAGE('V25'!F108,'V26'!F108,'V27'!F108)) * 100,"")</f>
        <v>87.284743375948736</v>
      </c>
      <c r="G110" s="18">
        <f>IFERROR((G108 / AVERAGE('V25'!G108,'V26'!G108,'V27'!G108)) * 100,"")</f>
        <v>98.493709621958104</v>
      </c>
      <c r="H110" s="14">
        <f>IFERROR((G110*0.6)+(F110*0.4),"")</f>
        <v>94.010123123554351</v>
      </c>
    </row>
    <row r="111" spans="2:8">
      <c r="B111" s="5" t="s">
        <v>89</v>
      </c>
      <c r="C111" s="5" t="s">
        <v>90</v>
      </c>
      <c r="D111" s="5" t="s">
        <v>91</v>
      </c>
    </row>
    <row r="112" spans="2:8">
      <c r="B112" s="17">
        <v>19614</v>
      </c>
      <c r="C112" s="17">
        <f>B112-'V27'!$B$112</f>
        <v>407</v>
      </c>
      <c r="D112" s="19">
        <f>C112/'V27'!$B$112</f>
        <v>2.1190191076170147E-2</v>
      </c>
    </row>
  </sheetData>
  <conditionalFormatting sqref="E11:G11">
    <cfRule type="cellIs" dxfId="329" priority="1" operator="lessThan">
      <formula>0</formula>
    </cfRule>
    <cfRule type="cellIs" dxfId="328" priority="2" operator="greaterThan">
      <formula>0</formula>
    </cfRule>
  </conditionalFormatting>
  <conditionalFormatting sqref="E21:G21">
    <cfRule type="cellIs" dxfId="327" priority="3" operator="lessThan">
      <formula>0</formula>
    </cfRule>
    <cfRule type="cellIs" dxfId="326" priority="4" operator="greaterThan">
      <formula>0</formula>
    </cfRule>
  </conditionalFormatting>
  <conditionalFormatting sqref="E31:G31">
    <cfRule type="cellIs" dxfId="325" priority="5" operator="lessThan">
      <formula>0</formula>
    </cfRule>
    <cfRule type="cellIs" dxfId="324" priority="6" operator="greaterThan">
      <formula>0</formula>
    </cfRule>
  </conditionalFormatting>
  <conditionalFormatting sqref="E41:G41">
    <cfRule type="cellIs" dxfId="323" priority="7" operator="lessThan">
      <formula>0</formula>
    </cfRule>
    <cfRule type="cellIs" dxfId="322" priority="8" operator="greaterThan">
      <formula>0</formula>
    </cfRule>
  </conditionalFormatting>
  <conditionalFormatting sqref="E51:G51">
    <cfRule type="cellIs" dxfId="321" priority="9" operator="lessThan">
      <formula>0</formula>
    </cfRule>
    <cfRule type="cellIs" dxfId="320" priority="10" operator="greaterThan">
      <formula>0</formula>
    </cfRule>
  </conditionalFormatting>
  <conditionalFormatting sqref="E61:G61">
    <cfRule type="cellIs" dxfId="319" priority="11" operator="lessThan">
      <formula>0</formula>
    </cfRule>
    <cfRule type="cellIs" dxfId="318" priority="12" operator="greaterThan">
      <formula>0</formula>
    </cfRule>
  </conditionalFormatting>
  <conditionalFormatting sqref="E71:G71">
    <cfRule type="cellIs" dxfId="317" priority="13" operator="lessThan">
      <formula>0</formula>
    </cfRule>
    <cfRule type="cellIs" dxfId="316" priority="14" operator="greaterThan">
      <formula>0</formula>
    </cfRule>
  </conditionalFormatting>
  <conditionalFormatting sqref="E81:G81">
    <cfRule type="cellIs" dxfId="315" priority="15" operator="lessThan">
      <formula>0</formula>
    </cfRule>
    <cfRule type="cellIs" dxfId="314" priority="16" operator="greaterThan">
      <formula>0</formula>
    </cfRule>
  </conditionalFormatting>
  <conditionalFormatting sqref="E91:G91">
    <cfRule type="cellIs" dxfId="313" priority="17" operator="lessThan">
      <formula>0</formula>
    </cfRule>
    <cfRule type="cellIs" dxfId="312" priority="18" operator="greaterThan">
      <formula>0</formula>
    </cfRule>
  </conditionalFormatting>
  <conditionalFormatting sqref="E101:G101">
    <cfRule type="cellIs" dxfId="311" priority="19" operator="lessThan">
      <formula>0</formula>
    </cfRule>
    <cfRule type="cellIs" dxfId="310" priority="20" operator="greaterThan">
      <formula>0</formula>
    </cfRule>
  </conditionalFormatting>
  <conditionalFormatting sqref="E107:G107">
    <cfRule type="cellIs" dxfId="309" priority="21" operator="lessThan">
      <formula>0</formula>
    </cfRule>
    <cfRule type="cellIs" dxfId="308" priority="22" operator="greaterThan">
      <formula>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12"/>
  <sheetViews>
    <sheetView zoomScaleNormal="100" zoomScaleSheetLayoutView="100" workbookViewId="0"/>
  </sheetViews>
  <sheetFormatPr defaultRowHeight="15"/>
  <cols>
    <col min="2" max="2" width="16" customWidth="1"/>
    <col min="4" max="4" width="26" customWidth="1"/>
    <col min="5" max="5" width="10" customWidth="1"/>
    <col min="6" max="7" width="12" customWidth="1"/>
    <col min="8" max="8" width="10" customWidth="1"/>
    <col min="9" max="11" width="12" customWidth="1"/>
  </cols>
  <sheetData>
    <row r="1" spans="1:11">
      <c r="A1" s="1" t="s">
        <v>0</v>
      </c>
    </row>
    <row r="3" spans="1:11">
      <c r="C3" s="2" t="s">
        <v>102</v>
      </c>
    </row>
    <row r="4" spans="1:11">
      <c r="C4" s="3" t="s">
        <v>103</v>
      </c>
      <c r="I4" s="4">
        <v>29</v>
      </c>
      <c r="J4" s="5" t="s">
        <v>3</v>
      </c>
    </row>
    <row r="5" spans="1:11">
      <c r="A5" s="1">
        <v>1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</row>
    <row r="6" spans="1:11">
      <c r="B6" s="6" t="s">
        <v>104</v>
      </c>
      <c r="C6" s="2" t="s">
        <v>14</v>
      </c>
      <c r="D6" s="5" t="s">
        <v>105</v>
      </c>
      <c r="E6" s="7">
        <v>99</v>
      </c>
      <c r="F6" s="7">
        <v>7124.04</v>
      </c>
      <c r="G6" s="7">
        <v>1778.04</v>
      </c>
      <c r="H6" s="8">
        <f>IFERROR(G6/F6,"")</f>
        <v>0.24958310172317955</v>
      </c>
      <c r="I6" s="18">
        <f>IFERROR(((E6/$B$112) / AVERAGE('V25'!E6/'V25'!$B$112, 'V26'!E6/'V26'!$B$112, 'V27'!E6/'V27'!$B$112, 'V28'!E6/'V28'!$B$112)) * 100,"")</f>
        <v>71.151579383970187</v>
      </c>
      <c r="J6" s="18">
        <f>IFERROR(((F6/$B$112) / AVERAGE('V25'!F6/'V25'!$B$112, 'V26'!F6/'V26'!$B$112, 'V27'!F6/'V27'!$B$112, 'V28'!F6/'V28'!$B$112)) * 100,"")</f>
        <v>71.506582642006066</v>
      </c>
      <c r="K6" s="18">
        <f>IFERROR(((G6/$B$112) / AVERAGE('V25'!G6/'V25'!$B$112, 'V26'!G6/'V26'!$B$112, 'V27'!G6/'V27'!$B$112, 'V28'!G6/'V28'!$B$112)) * 100,"")</f>
        <v>77.448281769291128</v>
      </c>
    </row>
    <row r="7" spans="1:11">
      <c r="C7" s="2" t="s">
        <v>16</v>
      </c>
    </row>
    <row r="8" spans="1:11">
      <c r="C8" s="2" t="s">
        <v>17</v>
      </c>
    </row>
    <row r="9" spans="1:11">
      <c r="C9" s="2" t="s">
        <v>18</v>
      </c>
    </row>
    <row r="10" spans="1:11">
      <c r="C10" s="9" t="s">
        <v>19</v>
      </c>
      <c r="D10" s="10"/>
      <c r="E10" s="11">
        <f>SUM(E6:E9)</f>
        <v>99</v>
      </c>
      <c r="F10" s="11">
        <f>SUM(F6:F9)</f>
        <v>7124.04</v>
      </c>
      <c r="G10" s="11">
        <f>SUM(G6:G9)</f>
        <v>1778.04</v>
      </c>
      <c r="H10" s="12">
        <f>IFERROR(G10/F10,"")</f>
        <v>0.24958310172317955</v>
      </c>
    </row>
    <row r="11" spans="1:11">
      <c r="B11" s="5" t="s">
        <v>20</v>
      </c>
      <c r="E11" s="16">
        <f>IFERROR((E10-('V28'!E10))/('V28'!E10),"")</f>
        <v>0.90384615384615385</v>
      </c>
      <c r="F11" s="16">
        <f>IFERROR((F10-('V28'!F10))/('V28'!F10),"")</f>
        <v>0.94713998338216654</v>
      </c>
      <c r="G11" s="16">
        <f>IFERROR((G10-('V28'!G10))/('V28'!G10),"")</f>
        <v>1.4069200779727093</v>
      </c>
      <c r="H11" s="16">
        <f>IFERROR(H10-('V28'!H10),"")</f>
        <v>4.7676423977957155E-2</v>
      </c>
    </row>
    <row r="12" spans="1:11">
      <c r="B12" s="5" t="s">
        <v>21</v>
      </c>
      <c r="E12" s="13">
        <f>E10/$B$112</f>
        <v>4.5483782045391899E-3</v>
      </c>
      <c r="F12" s="13">
        <f>F10/$B$112</f>
        <v>0.32730129559864007</v>
      </c>
      <c r="G12" s="13">
        <f>G10/$B$112</f>
        <v>8.1688872553523847E-2</v>
      </c>
    </row>
    <row r="13" spans="1:11">
      <c r="B13" s="5" t="s">
        <v>22</v>
      </c>
      <c r="E13" s="8">
        <f>IFERROR((E12-'V28'!E12)/'V28'!E12,"")</f>
        <v>0.71561327122753204</v>
      </c>
      <c r="F13" s="8">
        <f>IFERROR((F12-'V28'!F12)/'V28'!F12,"")</f>
        <v>0.75462664862895412</v>
      </c>
      <c r="G13" s="8">
        <f>IFERROR((G12-'V28'!G12)/'V28'!G12,"")</f>
        <v>1.1689483786344173</v>
      </c>
    </row>
    <row r="14" spans="1:11">
      <c r="B14" s="5" t="s">
        <v>23</v>
      </c>
      <c r="E14" s="18">
        <f>(E12 / AVERAGE('V25'!E12,'V26'!E12,'V27'!E12,'V28'!E12)) * 100</f>
        <v>71.151579383970187</v>
      </c>
      <c r="F14" s="18">
        <f>(F12 / AVERAGE('V25'!F12,'V26'!F12,'V27'!F12,'V28'!F12)) * 100</f>
        <v>71.506582642006066</v>
      </c>
      <c r="G14" s="18">
        <f>(G12 / AVERAGE('V25'!G12,'V26'!G12,'V27'!G12,'V28'!G12)) * 100</f>
        <v>77.448281769291128</v>
      </c>
      <c r="H14" s="14">
        <f>IFERROR((G14*0.6)+(F14*0.4),"")</f>
        <v>75.071602118377101</v>
      </c>
    </row>
    <row r="15" spans="1:11">
      <c r="A15" s="1">
        <v>2</v>
      </c>
      <c r="C15" s="2" t="s">
        <v>24</v>
      </c>
      <c r="D15" s="2" t="s">
        <v>5</v>
      </c>
      <c r="E15" s="2" t="s">
        <v>6</v>
      </c>
      <c r="F15" s="2" t="s">
        <v>7</v>
      </c>
      <c r="G15" s="2" t="s">
        <v>8</v>
      </c>
      <c r="H15" s="2" t="s">
        <v>9</v>
      </c>
      <c r="I15" s="2" t="s">
        <v>10</v>
      </c>
      <c r="J15" s="2" t="s">
        <v>11</v>
      </c>
      <c r="K15" s="2" t="s">
        <v>12</v>
      </c>
    </row>
    <row r="16" spans="1:11">
      <c r="B16" s="6" t="s">
        <v>25</v>
      </c>
      <c r="C16" s="2" t="s">
        <v>26</v>
      </c>
      <c r="D16" s="5" t="s">
        <v>27</v>
      </c>
      <c r="E16" s="7">
        <v>215</v>
      </c>
      <c r="F16" s="7">
        <v>4288.41</v>
      </c>
      <c r="G16" s="7">
        <v>859.16</v>
      </c>
      <c r="H16" s="8">
        <f>IFERROR(G16/F16,"")</f>
        <v>0.20034464988189096</v>
      </c>
      <c r="I16" s="18">
        <f>IFERROR(((E16/$B$112) / AVERAGE('V25'!E16/'V25'!$B$112, 'V26'!E16/'V26'!$B$112, 'V27'!E16/'V27'!$B$112, 'V28'!E16/'V28'!$B$112)) * 100,"")</f>
        <v>109.1507710157005</v>
      </c>
      <c r="J16" s="18">
        <f>IFERROR(((F16/$B$112) / AVERAGE('V25'!F16/'V25'!$B$112, 'V26'!F16/'V26'!$B$112, 'V27'!F16/'V27'!$B$112, 'V28'!F16/'V28'!$B$112)) * 100,"")</f>
        <v>107.84023741360787</v>
      </c>
      <c r="K16" s="18">
        <f>IFERROR(((G16/$B$112) / AVERAGE('V25'!G16/'V25'!$B$112, 'V26'!G16/'V26'!$B$112, 'V27'!G16/'V27'!$B$112, 'V28'!G16/'V28'!$B$112)) * 100,"")</f>
        <v>104.30679047511195</v>
      </c>
    </row>
    <row r="17" spans="1:11">
      <c r="C17" s="2" t="s">
        <v>28</v>
      </c>
    </row>
    <row r="18" spans="1:11">
      <c r="C18" s="2" t="s">
        <v>29</v>
      </c>
    </row>
    <row r="19" spans="1:11">
      <c r="C19" s="2" t="s">
        <v>30</v>
      </c>
    </row>
    <row r="20" spans="1:11">
      <c r="C20" s="9" t="s">
        <v>19</v>
      </c>
      <c r="D20" s="10"/>
      <c r="E20" s="11">
        <f>SUM(E16:E19)</f>
        <v>215</v>
      </c>
      <c r="F20" s="11">
        <f>SUM(F16:F19)</f>
        <v>4288.41</v>
      </c>
      <c r="G20" s="11">
        <f>SUM(G16:G19)</f>
        <v>859.16</v>
      </c>
      <c r="H20" s="12">
        <f>IFERROR(G20/F20,"")</f>
        <v>0.20034464988189096</v>
      </c>
    </row>
    <row r="21" spans="1:11">
      <c r="B21" s="5" t="s">
        <v>20</v>
      </c>
      <c r="E21" s="16">
        <f>IFERROR((E20-('V28'!E20))/('V28'!E20),"")</f>
        <v>9.1370558375634514E-2</v>
      </c>
      <c r="F21" s="16">
        <f>IFERROR((F20-('V28'!F20))/('V28'!F20),"")</f>
        <v>9.1442867614122236E-2</v>
      </c>
      <c r="G21" s="16">
        <f>IFERROR((G20-('V28'!G20))/('V28'!G20),"")</f>
        <v>9.1731578077944437E-2</v>
      </c>
      <c r="H21" s="16">
        <f>IFERROR(H20-('V28'!H20),"")</f>
        <v>5.2981518491507229E-5</v>
      </c>
    </row>
    <row r="22" spans="1:11">
      <c r="B22" s="5" t="s">
        <v>21</v>
      </c>
      <c r="E22" s="13">
        <f>E20/$B$112</f>
        <v>9.8777910502618766E-3</v>
      </c>
      <c r="F22" s="13">
        <f>F20/$B$112</f>
        <v>0.19702333915280712</v>
      </c>
      <c r="G22" s="13">
        <f>G20/$B$112</f>
        <v>3.9472571901130203E-2</v>
      </c>
    </row>
    <row r="23" spans="1:11">
      <c r="B23" s="5" t="s">
        <v>22</v>
      </c>
      <c r="E23" s="8">
        <f>IFERROR((E22-'V28'!E22)/'V28'!E22,"")</f>
        <v>-1.6533027107429182E-2</v>
      </c>
      <c r="F23" s="8">
        <f>IFERROR((F22-'V28'!F22)/'V28'!F22,"")</f>
        <v>-1.6467867068667076E-2</v>
      </c>
      <c r="G23" s="8">
        <f>IFERROR((G22-'V28'!G22)/'V28'!G22,"")</f>
        <v>-1.6207701349774714E-2</v>
      </c>
    </row>
    <row r="24" spans="1:11">
      <c r="B24" s="5" t="s">
        <v>23</v>
      </c>
      <c r="E24" s="18">
        <f>(E22 / AVERAGE('V25'!E22,'V26'!E22,'V27'!E22,'V28'!E22)) * 100</f>
        <v>109.1507710157005</v>
      </c>
      <c r="F24" s="18">
        <f>(F22 / AVERAGE('V25'!F22,'V26'!F22,'V27'!F22,'V28'!F22)) * 100</f>
        <v>107.84023741360787</v>
      </c>
      <c r="G24" s="18">
        <f>(G22 / AVERAGE('V25'!G22,'V26'!G22,'V27'!G22,'V28'!G22)) * 100</f>
        <v>104.30679047511195</v>
      </c>
      <c r="H24" s="14">
        <f>IFERROR((G24*0.6)+(F24*0.4),"")</f>
        <v>105.72016925051031</v>
      </c>
    </row>
    <row r="25" spans="1:11">
      <c r="A25" s="1">
        <v>3</v>
      </c>
      <c r="C25" s="2" t="s">
        <v>31</v>
      </c>
      <c r="D25" s="2" t="s">
        <v>5</v>
      </c>
      <c r="E25" s="2" t="s">
        <v>6</v>
      </c>
      <c r="F25" s="2" t="s">
        <v>7</v>
      </c>
      <c r="G25" s="2" t="s">
        <v>8</v>
      </c>
      <c r="H25" s="2" t="s">
        <v>9</v>
      </c>
      <c r="I25" s="2" t="s">
        <v>10</v>
      </c>
      <c r="J25" s="2" t="s">
        <v>11</v>
      </c>
      <c r="K25" s="2" t="s">
        <v>12</v>
      </c>
    </row>
    <row r="26" spans="1:11">
      <c r="B26" s="6" t="s">
        <v>32</v>
      </c>
      <c r="C26" s="2" t="s">
        <v>33</v>
      </c>
      <c r="D26" s="5" t="s">
        <v>34</v>
      </c>
      <c r="E26" s="7">
        <v>797</v>
      </c>
      <c r="F26" s="7">
        <v>18827.12</v>
      </c>
      <c r="G26" s="7">
        <v>4222.3999999999996</v>
      </c>
      <c r="H26" s="8">
        <f>IFERROR(G26/F26,"")</f>
        <v>0.22427222007402087</v>
      </c>
      <c r="I26" s="18">
        <f>IFERROR(((E26/$B$112) / AVERAGE('V25'!E26/'V25'!$B$112, 'V26'!E26/'V26'!$B$112, 'V27'!E26/'V27'!$B$112, 'V28'!E26/'V28'!$B$112)) * 100,"")</f>
        <v>128.73073104820364</v>
      </c>
      <c r="J26" s="18">
        <f>IFERROR(((F26/$B$112) / AVERAGE('V25'!F26/'V25'!$B$112, 'V26'!F26/'V26'!$B$112, 'V27'!F26/'V27'!$B$112, 'V28'!F26/'V28'!$B$112)) * 100,"")</f>
        <v>128.71270947300138</v>
      </c>
      <c r="K26" s="18">
        <f>IFERROR(((G26/$B$112) / AVERAGE('V25'!G26/'V25'!$B$112, 'V26'!G26/'V26'!$B$112, 'V27'!G26/'V27'!$B$112, 'V28'!G26/'V28'!$B$112)) * 100,"")</f>
        <v>131.21165491205994</v>
      </c>
    </row>
    <row r="27" spans="1:11">
      <c r="C27" s="2" t="s">
        <v>35</v>
      </c>
    </row>
    <row r="28" spans="1:11">
      <c r="C28" s="2" t="s">
        <v>36</v>
      </c>
    </row>
    <row r="29" spans="1:11">
      <c r="C29" s="2" t="s">
        <v>37</v>
      </c>
    </row>
    <row r="30" spans="1:11">
      <c r="C30" s="9" t="s">
        <v>19</v>
      </c>
      <c r="D30" s="10"/>
      <c r="E30" s="11">
        <f>SUM(E26:E29)</f>
        <v>797</v>
      </c>
      <c r="F30" s="11">
        <f>SUM(F26:F29)</f>
        <v>18827.12</v>
      </c>
      <c r="G30" s="11">
        <f>SUM(G26:G29)</f>
        <v>4222.3999999999996</v>
      </c>
      <c r="H30" s="12">
        <f>IFERROR(G30/F30,"")</f>
        <v>0.22427222007402087</v>
      </c>
    </row>
    <row r="31" spans="1:11">
      <c r="B31" s="5" t="s">
        <v>20</v>
      </c>
      <c r="E31" s="16">
        <f>IFERROR((E30-('V28'!E30))/('V28'!E30),"")</f>
        <v>0.35544217687074831</v>
      </c>
      <c r="F31" s="16">
        <f>IFERROR((F30-('V28'!F30))/('V28'!F30),"")</f>
        <v>0.35510859801460243</v>
      </c>
      <c r="G31" s="16">
        <f>IFERROR((G30-('V28'!G30))/('V28'!G30),"")</f>
        <v>0.37573309005604061</v>
      </c>
      <c r="H31" s="16">
        <f>IFERROR(H30-('V28'!H30),"")</f>
        <v>3.3622078668209543E-3</v>
      </c>
    </row>
    <row r="32" spans="1:11">
      <c r="B32" s="5" t="s">
        <v>21</v>
      </c>
      <c r="E32" s="13">
        <f>E30/$B$112</f>
        <v>3.6616741707249836E-2</v>
      </c>
      <c r="F32" s="13">
        <f>F30/$B$112</f>
        <v>0.8649784066893319</v>
      </c>
      <c r="G32" s="13">
        <f>G30/$B$112</f>
        <v>0.19399062758430577</v>
      </c>
    </row>
    <row r="33" spans="1:11">
      <c r="B33" s="5" t="s">
        <v>22</v>
      </c>
      <c r="E33" s="8">
        <f>IFERROR((E32-'V28'!E32)/'V28'!E32,"")</f>
        <v>0.22142988409183378</v>
      </c>
      <c r="F33" s="8">
        <f>IFERROR((F32-'V28'!F32)/'V28'!F32,"")</f>
        <v>0.22112928610945567</v>
      </c>
      <c r="G33" s="8">
        <f>IFERROR((G32-'V28'!G32)/'V28'!G32,"")</f>
        <v>0.23971463881095195</v>
      </c>
    </row>
    <row r="34" spans="1:11">
      <c r="B34" s="5" t="s">
        <v>23</v>
      </c>
      <c r="E34" s="18">
        <f>(E32 / AVERAGE('V25'!E32,'V26'!E32,'V27'!E32,'V28'!E32)) * 100</f>
        <v>128.73073104820364</v>
      </c>
      <c r="F34" s="18">
        <f>(F32 / AVERAGE('V25'!F32,'V26'!F32,'V27'!F32,'V28'!F32)) * 100</f>
        <v>128.71270947300138</v>
      </c>
      <c r="G34" s="18">
        <f>(G32 / AVERAGE('V25'!G32,'V26'!G32,'V27'!G32,'V28'!G32)) * 100</f>
        <v>131.21165491205994</v>
      </c>
      <c r="H34" s="14">
        <f>IFERROR((G34*0.6)+(F34*0.4),"")</f>
        <v>130.21207673643653</v>
      </c>
    </row>
    <row r="35" spans="1:11">
      <c r="A35" s="1">
        <v>4</v>
      </c>
      <c r="C35" s="2" t="s">
        <v>38</v>
      </c>
      <c r="D35" s="2" t="s">
        <v>5</v>
      </c>
      <c r="E35" s="2" t="s">
        <v>6</v>
      </c>
      <c r="F35" s="2" t="s">
        <v>7</v>
      </c>
      <c r="G35" s="2" t="s">
        <v>8</v>
      </c>
      <c r="H35" s="2" t="s">
        <v>9</v>
      </c>
      <c r="I35" s="2" t="s">
        <v>10</v>
      </c>
      <c r="J35" s="2" t="s">
        <v>11</v>
      </c>
      <c r="K35" s="2" t="s">
        <v>12</v>
      </c>
    </row>
    <row r="36" spans="1:11">
      <c r="B36" s="6" t="s">
        <v>39</v>
      </c>
      <c r="C36" s="2" t="s">
        <v>40</v>
      </c>
      <c r="D36" s="5" t="s">
        <v>41</v>
      </c>
      <c r="E36" s="7">
        <v>727</v>
      </c>
      <c r="F36" s="7">
        <v>17176.080000000002</v>
      </c>
      <c r="G36" s="7">
        <v>3817.5</v>
      </c>
      <c r="H36" s="8">
        <f>IFERROR(G36/F36,"")</f>
        <v>0.22225676638674247</v>
      </c>
      <c r="I36" s="18">
        <f>IFERROR(((E36/$B$112) / AVERAGE('V25'!E36/'V25'!$B$112, 'V26'!E36/'V26'!$B$112, 'V27'!E36/'V27'!$B$112, 'V28'!E36/'V28'!$B$112)) * 100,"")</f>
        <v>124.43862690014937</v>
      </c>
      <c r="J36" s="18">
        <f>IFERROR(((F36/$B$112) / AVERAGE('V25'!F36/'V25'!$B$112, 'V26'!F36/'V26'!$B$112, 'V27'!F36/'V27'!$B$112, 'V28'!F36/'V28'!$B$112)) * 100,"")</f>
        <v>124.46306504884257</v>
      </c>
      <c r="K36" s="18">
        <f>IFERROR(((G36/$B$112) / AVERAGE('V25'!G36/'V25'!$B$112, 'V26'!G36/'V26'!$B$112, 'V27'!G36/'V27'!$B$112, 'V28'!G36/'V28'!$B$112)) * 100,"")</f>
        <v>123.56746294199115</v>
      </c>
    </row>
    <row r="37" spans="1:11">
      <c r="C37" s="2" t="s">
        <v>42</v>
      </c>
    </row>
    <row r="38" spans="1:11">
      <c r="C38" s="2" t="s">
        <v>43</v>
      </c>
    </row>
    <row r="39" spans="1:11">
      <c r="C39" s="2" t="s">
        <v>44</v>
      </c>
    </row>
    <row r="40" spans="1:11">
      <c r="C40" s="9" t="s">
        <v>19</v>
      </c>
      <c r="D40" s="10"/>
      <c r="E40" s="11">
        <f>SUM(E36:E39)</f>
        <v>727</v>
      </c>
      <c r="F40" s="11">
        <f>SUM(F36:F39)</f>
        <v>17176.080000000002</v>
      </c>
      <c r="G40" s="11">
        <f>SUM(G36:G39)</f>
        <v>3817.5</v>
      </c>
      <c r="H40" s="12">
        <f>IFERROR(G40/F40,"")</f>
        <v>0.22225676638674247</v>
      </c>
    </row>
    <row r="41" spans="1:11">
      <c r="B41" s="5" t="s">
        <v>20</v>
      </c>
      <c r="E41" s="16">
        <f>IFERROR((E40-('V28'!E40))/('V28'!E40),"")</f>
        <v>0.29590017825311943</v>
      </c>
      <c r="F41" s="16">
        <f>IFERROR((F40-('V28'!F40))/('V28'!F40),"")</f>
        <v>0.29641750849883181</v>
      </c>
      <c r="G41" s="16">
        <f>IFERROR((G40-('V28'!G40))/('V28'!G40),"")</f>
        <v>0.26537173920249257</v>
      </c>
      <c r="H41" s="16">
        <f>IFERROR(H40-('V28'!H40),"")</f>
        <v>-5.4530475748905405E-3</v>
      </c>
    </row>
    <row r="42" spans="1:11">
      <c r="B42" s="5" t="s">
        <v>21</v>
      </c>
      <c r="E42" s="13">
        <f>E40/$B$112</f>
        <v>3.3400716714141319E-2</v>
      </c>
      <c r="F42" s="13">
        <f>F40/$B$112</f>
        <v>0.78912432233759078</v>
      </c>
      <c r="G42" s="13">
        <f>G40/$B$112</f>
        <v>0.1753882201598824</v>
      </c>
    </row>
    <row r="43" spans="1:11">
      <c r="B43" s="5" t="s">
        <v>22</v>
      </c>
      <c r="E43" s="8">
        <f>IFERROR((E42-'V28'!E42)/'V28'!E42,"")</f>
        <v>0.16777479078639548</v>
      </c>
      <c r="F43" s="8">
        <f>IFERROR((F42-'V28'!F42)/'V28'!F42,"")</f>
        <v>0.16824097269576799</v>
      </c>
      <c r="G43" s="8">
        <f>IFERROR((G42-'V28'!G42)/'V28'!G42,"")</f>
        <v>0.14026469230532437</v>
      </c>
    </row>
    <row r="44" spans="1:11">
      <c r="B44" s="5" t="s">
        <v>23</v>
      </c>
      <c r="E44" s="18">
        <f>(E42 / AVERAGE('V25'!E42,'V26'!E42,'V27'!E42,'V28'!E42)) * 100</f>
        <v>124.43862690014937</v>
      </c>
      <c r="F44" s="18">
        <f>(F42 / AVERAGE('V25'!F42,'V26'!F42,'V27'!F42,'V28'!F42)) * 100</f>
        <v>124.46306504884257</v>
      </c>
      <c r="G44" s="18">
        <f>(G42 / AVERAGE('V25'!G42,'V26'!G42,'V27'!G42,'V28'!G42)) * 100</f>
        <v>123.56746294199115</v>
      </c>
      <c r="H44" s="14">
        <f>IFERROR((G44*0.6)+(F44*0.4),"")</f>
        <v>123.92570378473172</v>
      </c>
    </row>
    <row r="45" spans="1:11">
      <c r="A45" s="1">
        <v>5</v>
      </c>
      <c r="C45" s="2" t="s">
        <v>45</v>
      </c>
      <c r="D45" s="2" t="s">
        <v>5</v>
      </c>
      <c r="E45" s="2" t="s">
        <v>6</v>
      </c>
      <c r="F45" s="2" t="s">
        <v>7</v>
      </c>
      <c r="G45" s="2" t="s">
        <v>8</v>
      </c>
      <c r="H45" s="2" t="s">
        <v>9</v>
      </c>
      <c r="I45" s="2" t="s">
        <v>10</v>
      </c>
      <c r="J45" s="2" t="s">
        <v>11</v>
      </c>
      <c r="K45" s="2" t="s">
        <v>12</v>
      </c>
    </row>
    <row r="46" spans="1:11">
      <c r="B46" s="6" t="s">
        <v>46</v>
      </c>
      <c r="C46" s="2" t="s">
        <v>47</v>
      </c>
      <c r="D46" s="5" t="s">
        <v>48</v>
      </c>
      <c r="E46" s="7">
        <v>274</v>
      </c>
      <c r="F46" s="7">
        <v>21700.799999999999</v>
      </c>
      <c r="G46" s="7">
        <v>2520.8000000000002</v>
      </c>
      <c r="H46" s="8">
        <f>IFERROR(G46/F46,"")</f>
        <v>0.11616161616161617</v>
      </c>
      <c r="I46" s="18">
        <f>IFERROR(((E46/$B$112) / AVERAGE('V25'!E46/'V25'!$B$112, 'V26'!E46/'V26'!$B$112, 'V27'!E46/'V27'!$B$112, 'V28'!E46/'V28'!$B$112)) * 100,"")</f>
        <v>109.53894883167821</v>
      </c>
      <c r="J46" s="18">
        <f>IFERROR(((F46/$B$112) / AVERAGE('V25'!F46/'V25'!$B$112, 'V26'!F46/'V26'!$B$112, 'V27'!F46/'V27'!$B$112, 'V28'!F46/'V28'!$B$112)) * 100,"")</f>
        <v>117.91534414066341</v>
      </c>
      <c r="K46" s="18">
        <f>IFERROR(((G46/$B$112) / AVERAGE('V25'!G46/'V25'!$B$112, 'V26'!G46/'V26'!$B$112, 'V27'!G46/'V27'!$B$112, 'V28'!G46/'V28'!$B$112)) * 100,"")</f>
        <v>505.95190659721823</v>
      </c>
    </row>
    <row r="47" spans="1:11">
      <c r="C47" s="2" t="s">
        <v>49</v>
      </c>
    </row>
    <row r="48" spans="1:11">
      <c r="C48" s="2" t="s">
        <v>50</v>
      </c>
    </row>
    <row r="49" spans="1:11">
      <c r="C49" s="2" t="s">
        <v>51</v>
      </c>
    </row>
    <row r="50" spans="1:11">
      <c r="C50" s="9" t="s">
        <v>19</v>
      </c>
      <c r="D50" s="10"/>
      <c r="E50" s="11">
        <f>SUM(E46:E49)</f>
        <v>274</v>
      </c>
      <c r="F50" s="11">
        <f>SUM(F46:F49)</f>
        <v>21700.799999999999</v>
      </c>
      <c r="G50" s="11">
        <f>SUM(G46:G49)</f>
        <v>2520.8000000000002</v>
      </c>
      <c r="H50" s="12">
        <f>IFERROR(G50/F50,"")</f>
        <v>0.11616161616161617</v>
      </c>
    </row>
    <row r="51" spans="1:11">
      <c r="B51" s="5" t="s">
        <v>20</v>
      </c>
      <c r="E51" s="16">
        <f>IFERROR((E50-('V28'!E50))/('V28'!E50),"")</f>
        <v>0.54802259887005644</v>
      </c>
      <c r="F51" s="16">
        <f>IFERROR((F50-('V28'!F50))/('V28'!F50),"")</f>
        <v>0.54802259887005644</v>
      </c>
      <c r="G51" s="16">
        <f>IFERROR((G50-('V28'!G50))/('V28'!G50),"")</f>
        <v>0.54802259887005655</v>
      </c>
      <c r="H51" s="16">
        <f>IFERROR(H50-('V28'!H50),"")</f>
        <v>0</v>
      </c>
    </row>
    <row r="52" spans="1:11">
      <c r="B52" s="5" t="s">
        <v>21</v>
      </c>
      <c r="E52" s="13">
        <f>E50/$B$112</f>
        <v>1.2588440687310484E-2</v>
      </c>
      <c r="F52" s="13">
        <f>F50/$B$112</f>
        <v>0.99700450243499028</v>
      </c>
      <c r="G52" s="13">
        <f>G50/$B$112</f>
        <v>0.11581365432325647</v>
      </c>
    </row>
    <row r="53" spans="1:11">
      <c r="B53" s="5" t="s">
        <v>22</v>
      </c>
      <c r="E53" s="8">
        <f>IFERROR((E52-'V28'!E52)/'V28'!E52,"")</f>
        <v>0.39496991887518551</v>
      </c>
      <c r="F53" s="8">
        <f>IFERROR((F52-'V28'!F52)/'V28'!F52,"")</f>
        <v>0.3949699188751854</v>
      </c>
      <c r="G53" s="8">
        <f>IFERROR((G52-'V28'!G52)/'V28'!G52,"")</f>
        <v>0.39496991887518546</v>
      </c>
    </row>
    <row r="54" spans="1:11">
      <c r="B54" s="5" t="s">
        <v>23</v>
      </c>
      <c r="E54" s="18">
        <f>(E52 / AVERAGE('V25'!E52,'V26'!E52,'V27'!E52,'V28'!E52)) * 100</f>
        <v>109.53894883167821</v>
      </c>
      <c r="F54" s="18">
        <f>(F52 / AVERAGE('V25'!F52,'V26'!F52,'V27'!F52,'V28'!F52)) * 100</f>
        <v>117.91534414066341</v>
      </c>
      <c r="G54" s="18">
        <f>(G52 / AVERAGE('V25'!G52,'V26'!G52,'V27'!G52,'V28'!G52)) * 100</f>
        <v>505.95190659721823</v>
      </c>
      <c r="H54" s="14">
        <f>IFERROR((G54*0.6)+(F54*0.4),"")</f>
        <v>350.73728161459633</v>
      </c>
    </row>
    <row r="55" spans="1:11">
      <c r="A55" s="1">
        <v>6</v>
      </c>
      <c r="C55" s="2" t="s">
        <v>52</v>
      </c>
      <c r="D55" s="2" t="s">
        <v>5</v>
      </c>
      <c r="E55" s="2" t="s">
        <v>6</v>
      </c>
      <c r="F55" s="2" t="s">
        <v>7</v>
      </c>
      <c r="G55" s="2" t="s">
        <v>8</v>
      </c>
      <c r="H55" s="2" t="s">
        <v>9</v>
      </c>
      <c r="I55" s="2" t="s">
        <v>10</v>
      </c>
      <c r="J55" s="2" t="s">
        <v>11</v>
      </c>
      <c r="K55" s="2" t="s">
        <v>12</v>
      </c>
    </row>
    <row r="56" spans="1:11">
      <c r="B56" s="6" t="s">
        <v>53</v>
      </c>
      <c r="C56" s="2" t="s">
        <v>54</v>
      </c>
      <c r="D56" s="5" t="s">
        <v>55</v>
      </c>
      <c r="E56" s="7">
        <v>196</v>
      </c>
      <c r="F56" s="7">
        <v>7988.96</v>
      </c>
      <c r="G56" s="7">
        <v>1716.96</v>
      </c>
      <c r="H56" s="8">
        <f>IFERROR(G56/F56,"")</f>
        <v>0.21491658488714427</v>
      </c>
      <c r="I56" s="18">
        <f>IFERROR(((E56/$B$112) / AVERAGE('V25'!E56/'V25'!$B$112, 'V26'!E56/'V26'!$B$112, 'V27'!E56/'V27'!$B$112, 'V28'!E56/'V28'!$B$112)) * 100,"")</f>
        <v>98.255860476575521</v>
      </c>
      <c r="J56" s="18">
        <f>IFERROR(((F56/$B$112) / AVERAGE('V25'!F56/'V25'!$B$112, 'V26'!F56/'V26'!$B$112, 'V27'!F56/'V27'!$B$112, 'V28'!F56/'V28'!$B$112)) * 100,"")</f>
        <v>98.262845161434356</v>
      </c>
      <c r="K56" s="18">
        <f>IFERROR(((G56/$B$112) / AVERAGE('V25'!G56/'V25'!$B$112, 'V26'!G56/'V26'!$B$112, 'V27'!G56/'V27'!$B$112, 'V28'!G56/'V28'!$B$112)) * 100,"")</f>
        <v>98.288368433551952</v>
      </c>
    </row>
    <row r="57" spans="1:11">
      <c r="C57" s="2" t="s">
        <v>56</v>
      </c>
    </row>
    <row r="58" spans="1:11">
      <c r="C58" s="2" t="s">
        <v>57</v>
      </c>
    </row>
    <row r="59" spans="1:11">
      <c r="C59" s="2" t="s">
        <v>58</v>
      </c>
    </row>
    <row r="60" spans="1:11">
      <c r="C60" s="9" t="s">
        <v>19</v>
      </c>
      <c r="D60" s="10"/>
      <c r="E60" s="11">
        <f>SUM(E56:E59)</f>
        <v>196</v>
      </c>
      <c r="F60" s="11">
        <f>SUM(F56:F59)</f>
        <v>7988.96</v>
      </c>
      <c r="G60" s="11">
        <f>SUM(G56:G59)</f>
        <v>1716.96</v>
      </c>
      <c r="H60" s="12">
        <f>IFERROR(G60/F60,"")</f>
        <v>0.21491658488714427</v>
      </c>
    </row>
    <row r="61" spans="1:11">
      <c r="B61" s="5" t="s">
        <v>20</v>
      </c>
      <c r="E61" s="16">
        <f>IFERROR((E60-('V28'!E60))/('V28'!E60),"")</f>
        <v>0.28947368421052633</v>
      </c>
      <c r="F61" s="16">
        <f>IFERROR((F60-('V28'!F60))/('V28'!F60),"")</f>
        <v>0.28947368421052622</v>
      </c>
      <c r="G61" s="16">
        <f>IFERROR((G60-('V28'!G60))/('V28'!G60),"")</f>
        <v>0.28947368421052638</v>
      </c>
      <c r="H61" s="16">
        <f>IFERROR(H60-('V28'!H60),"")</f>
        <v>2.7755575615628914E-17</v>
      </c>
    </row>
    <row r="62" spans="1:11">
      <c r="B62" s="5" t="s">
        <v>21</v>
      </c>
      <c r="E62" s="13">
        <f>E60/$B$112</f>
        <v>9.0048699807038501E-3</v>
      </c>
      <c r="F62" s="13">
        <f>F60/$B$112</f>
        <v>0.36703850041348896</v>
      </c>
      <c r="G62" s="13">
        <f>G60/$B$112</f>
        <v>7.8882661030965723E-2</v>
      </c>
    </row>
    <row r="63" spans="1:11">
      <c r="B63" s="5" t="s">
        <v>22</v>
      </c>
      <c r="E63" s="8">
        <f>IFERROR((E62-'V28'!E62)/'V28'!E62,"")</f>
        <v>0.16198368290477186</v>
      </c>
      <c r="F63" s="8">
        <f>IFERROR((F62-'V28'!F62)/'V28'!F62,"")</f>
        <v>0.16198368290477183</v>
      </c>
      <c r="G63" s="8">
        <f>IFERROR((G62-'V28'!G62)/'V28'!G62,"")</f>
        <v>0.16198368290477183</v>
      </c>
    </row>
    <row r="64" spans="1:11">
      <c r="B64" s="5" t="s">
        <v>23</v>
      </c>
      <c r="E64" s="18">
        <f>(E62 / AVERAGE('V25'!E62,'V26'!E62,'V27'!E62,'V28'!E62)) * 100</f>
        <v>98.255860476575521</v>
      </c>
      <c r="F64" s="18">
        <f>(F62 / AVERAGE('V25'!F62,'V26'!F62,'V27'!F62,'V28'!F62)) * 100</f>
        <v>98.262845161434356</v>
      </c>
      <c r="G64" s="18">
        <f>(G62 / AVERAGE('V25'!G62,'V26'!G62,'V27'!G62,'V28'!G62)) * 100</f>
        <v>98.288368433551952</v>
      </c>
      <c r="H64" s="14">
        <f>IFERROR((G64*0.6)+(F64*0.4),"")</f>
        <v>98.278159124704914</v>
      </c>
    </row>
    <row r="65" spans="1:11">
      <c r="A65" s="1">
        <v>7</v>
      </c>
      <c r="C65" s="2" t="s">
        <v>59</v>
      </c>
      <c r="D65" s="2" t="s">
        <v>5</v>
      </c>
      <c r="E65" s="2" t="s">
        <v>6</v>
      </c>
      <c r="F65" s="2" t="s">
        <v>7</v>
      </c>
      <c r="G65" s="2" t="s">
        <v>8</v>
      </c>
      <c r="H65" s="2" t="s">
        <v>9</v>
      </c>
      <c r="I65" s="2" t="s">
        <v>10</v>
      </c>
      <c r="J65" s="2" t="s">
        <v>11</v>
      </c>
      <c r="K65" s="2" t="s">
        <v>12</v>
      </c>
    </row>
    <row r="66" spans="1:11">
      <c r="B66" s="6" t="s">
        <v>60</v>
      </c>
      <c r="C66" s="2" t="s">
        <v>61</v>
      </c>
      <c r="D66" s="5" t="s">
        <v>62</v>
      </c>
      <c r="E66" s="7">
        <v>157</v>
      </c>
      <c r="F66" s="7">
        <v>3258.28</v>
      </c>
      <c r="G66" s="7">
        <v>754.13</v>
      </c>
      <c r="H66" s="8">
        <f>IFERROR(G66/F66,"")</f>
        <v>0.23145033575997151</v>
      </c>
      <c r="I66" s="18">
        <f>IFERROR(((E66/$B$112) / AVERAGE('V25'!E66/'V25'!$B$112, 'V26'!E66/'V26'!$B$112, 'V27'!E66/'V27'!$B$112, 'V28'!E66/'V28'!$B$112)) * 100,"")</f>
        <v>125.4886492204044</v>
      </c>
      <c r="J66" s="18">
        <f>IFERROR(((F66/$B$112) / AVERAGE('V25'!F66/'V25'!$B$112, 'V26'!F66/'V26'!$B$112, 'V27'!F66/'V27'!$B$112, 'V28'!F66/'V28'!$B$112)) * 100,"")</f>
        <v>125.57608874740205</v>
      </c>
      <c r="K66" s="18">
        <f>IFERROR(((G66/$B$112) / AVERAGE('V25'!G66/'V25'!$B$112, 'V26'!G66/'V26'!$B$112, 'V27'!G66/'V27'!$B$112, 'V28'!G66/'V28'!$B$112)) * 100,"")</f>
        <v>125.86731494837791</v>
      </c>
    </row>
    <row r="67" spans="1:11">
      <c r="C67" s="2" t="s">
        <v>63</v>
      </c>
    </row>
    <row r="68" spans="1:11">
      <c r="C68" s="2" t="s">
        <v>64</v>
      </c>
    </row>
    <row r="69" spans="1:11">
      <c r="C69" s="2" t="s">
        <v>65</v>
      </c>
    </row>
    <row r="70" spans="1:11">
      <c r="C70" s="9" t="s">
        <v>19</v>
      </c>
      <c r="D70" s="10"/>
      <c r="E70" s="11">
        <f>SUM(E66:E69)</f>
        <v>157</v>
      </c>
      <c r="F70" s="11">
        <f>SUM(F66:F69)</f>
        <v>3258.28</v>
      </c>
      <c r="G70" s="11">
        <f>SUM(G66:G69)</f>
        <v>754.13</v>
      </c>
      <c r="H70" s="12">
        <f>IFERROR(G70/F70,"")</f>
        <v>0.23145033575997151</v>
      </c>
    </row>
    <row r="71" spans="1:11">
      <c r="B71" s="5" t="s">
        <v>20</v>
      </c>
      <c r="E71" s="16">
        <f>IFERROR((E70-('V28'!E70))/('V28'!E70),"")</f>
        <v>8.2758620689655171E-2</v>
      </c>
      <c r="F71" s="16">
        <f>IFERROR((F70-('V28'!F70))/('V28'!F70),"")</f>
        <v>8.3161576000957513E-2</v>
      </c>
      <c r="G71" s="16">
        <f>IFERROR((G70-('V28'!G70))/('V28'!G70),"")</f>
        <v>8.4501776032903334E-2</v>
      </c>
      <c r="H71" s="16">
        <f>IFERROR(H70-('V28'!H70),"")</f>
        <v>2.8602050659065625E-4</v>
      </c>
    </row>
    <row r="72" spans="1:11">
      <c r="B72" s="5" t="s">
        <v>21</v>
      </c>
      <c r="E72" s="13">
        <f>E70/$B$112</f>
        <v>7.2130846274005333E-3</v>
      </c>
      <c r="F72" s="13">
        <f>F70/$B$112</f>
        <v>0.14969585592208032</v>
      </c>
      <c r="G72" s="13">
        <f>G70/$B$112</f>
        <v>3.4647156115041808E-2</v>
      </c>
    </row>
    <row r="73" spans="1:11">
      <c r="B73" s="5" t="s">
        <v>22</v>
      </c>
      <c r="E73" s="8">
        <f>IFERROR((E72-'V28'!E72)/'V28'!E72,"")</f>
        <v>-2.4293504263213413E-2</v>
      </c>
      <c r="F73" s="8">
        <f>IFERROR((F72-'V28'!F72)/'V28'!F72,"")</f>
        <v>-2.3930389061711774E-2</v>
      </c>
      <c r="G73" s="8">
        <f>IFERROR((G72-'V28'!G72)/'V28'!G72,"")</f>
        <v>-2.2722694334771375E-2</v>
      </c>
    </row>
    <row r="74" spans="1:11">
      <c r="B74" s="5" t="s">
        <v>23</v>
      </c>
      <c r="E74" s="18">
        <f>(E72 / AVERAGE('V25'!E72,'V26'!E72,'V27'!E72,'V28'!E72)) * 100</f>
        <v>125.4886492204044</v>
      </c>
      <c r="F74" s="18">
        <f>(F72 / AVERAGE('V25'!F72,'V26'!F72,'V27'!F72,'V28'!F72)) * 100</f>
        <v>125.57608874740205</v>
      </c>
      <c r="G74" s="18">
        <f>(G72 / AVERAGE('V25'!G72,'V26'!G72,'V27'!G72,'V28'!G72)) * 100</f>
        <v>125.86731494837791</v>
      </c>
      <c r="H74" s="14">
        <f>IFERROR((G74*0.6)+(F74*0.4),"")</f>
        <v>125.75082446798757</v>
      </c>
    </row>
    <row r="75" spans="1:11">
      <c r="A75" s="1">
        <v>8</v>
      </c>
      <c r="C75" s="2" t="s">
        <v>66</v>
      </c>
      <c r="D75" s="2" t="s">
        <v>5</v>
      </c>
      <c r="E75" s="2" t="s">
        <v>6</v>
      </c>
      <c r="F75" s="2" t="s">
        <v>7</v>
      </c>
      <c r="G75" s="2" t="s">
        <v>8</v>
      </c>
      <c r="H75" s="2" t="s">
        <v>9</v>
      </c>
      <c r="I75" s="2" t="s">
        <v>10</v>
      </c>
      <c r="J75" s="2" t="s">
        <v>11</v>
      </c>
      <c r="K75" s="2" t="s">
        <v>12</v>
      </c>
    </row>
    <row r="76" spans="1:11">
      <c r="B76" s="6" t="s">
        <v>67</v>
      </c>
      <c r="C76" s="2" t="s">
        <v>68</v>
      </c>
      <c r="D76" s="5" t="s">
        <v>69</v>
      </c>
      <c r="E76" s="7">
        <v>57</v>
      </c>
      <c r="F76" s="7">
        <v>1821.72</v>
      </c>
      <c r="G76" s="7">
        <v>396.72</v>
      </c>
      <c r="H76" s="8">
        <f>IFERROR(G76/F76,"")</f>
        <v>0.21777221526908638</v>
      </c>
      <c r="I76" s="18">
        <f>IFERROR(((E76/$B$112) / AVERAGE('V25'!E76/'V25'!$B$112, 'V26'!E76/'V26'!$B$112, 'V27'!E76/'V27'!$B$112, 'V28'!E76/'V28'!$B$112)) * 100,"")</f>
        <v>100.2903397221454</v>
      </c>
      <c r="J76" s="18">
        <f>IFERROR(((F76/$B$112) / AVERAGE('V25'!F76/'V25'!$B$112, 'V26'!F76/'V26'!$B$112, 'V27'!F76/'V27'!$B$112, 'V28'!F76/'V28'!$B$112)) * 100,"")</f>
        <v>100.44712310290322</v>
      </c>
      <c r="K76" s="18">
        <f>IFERROR(((G76/$B$112) / AVERAGE('V25'!G76/'V25'!$B$112, 'V26'!G76/'V26'!$B$112, 'V27'!G76/'V27'!$B$112, 'V28'!G76/'V28'!$B$112)) * 100,"")</f>
        <v>101.01434730603269</v>
      </c>
    </row>
    <row r="77" spans="1:11">
      <c r="C77" s="2" t="s">
        <v>70</v>
      </c>
    </row>
    <row r="78" spans="1:11">
      <c r="C78" s="2" t="s">
        <v>71</v>
      </c>
    </row>
    <row r="79" spans="1:11">
      <c r="C79" s="2" t="s">
        <v>72</v>
      </c>
    </row>
    <row r="80" spans="1:11">
      <c r="C80" s="9" t="s">
        <v>19</v>
      </c>
      <c r="D80" s="10"/>
      <c r="E80" s="11">
        <f>SUM(E76:E79)</f>
        <v>57</v>
      </c>
      <c r="F80" s="11">
        <f>SUM(F76:F79)</f>
        <v>1821.72</v>
      </c>
      <c r="G80" s="11">
        <f>SUM(G76:G79)</f>
        <v>396.72</v>
      </c>
      <c r="H80" s="12">
        <f>IFERROR(G80/F80,"")</f>
        <v>0.21777221526908638</v>
      </c>
    </row>
    <row r="81" spans="1:11">
      <c r="B81" s="5" t="s">
        <v>20</v>
      </c>
      <c r="E81" s="16">
        <f>IFERROR((E80-('V28'!E80))/('V28'!E80),"")</f>
        <v>0.32558139534883723</v>
      </c>
      <c r="F81" s="16">
        <f>IFERROR((F80-('V28'!F80))/('V28'!F80),"")</f>
        <v>0.32558139534883723</v>
      </c>
      <c r="G81" s="16">
        <f>IFERROR((G80-('V28'!G80))/('V28'!G80),"")</f>
        <v>0.3255813953488374</v>
      </c>
      <c r="H81" s="16">
        <f>IFERROR(H80-('V28'!H80),"")</f>
        <v>2.7755575615628914E-17</v>
      </c>
    </row>
    <row r="82" spans="1:11">
      <c r="B82" s="5" t="s">
        <v>21</v>
      </c>
      <c r="E82" s="13">
        <f>E80/$B$112</f>
        <v>2.618763208674079E-3</v>
      </c>
      <c r="F82" s="13">
        <f>F80/$B$112</f>
        <v>8.3695672149223563E-2</v>
      </c>
      <c r="G82" s="13">
        <f>G80/$B$112</f>
        <v>1.822659193237159E-2</v>
      </c>
    </row>
    <row r="83" spans="1:11">
      <c r="B83" s="5" t="s">
        <v>22</v>
      </c>
      <c r="E83" s="8">
        <f>IFERROR((E82-'V28'!E82)/'V28'!E82,"")</f>
        <v>0.19452143197519495</v>
      </c>
      <c r="F83" s="8">
        <f>IFERROR((F82-'V28'!F82)/'V28'!F82,"")</f>
        <v>0.19452143197519509</v>
      </c>
      <c r="G83" s="8">
        <f>IFERROR((G82-'V28'!G82)/'V28'!G82,"")</f>
        <v>0.19452143197519517</v>
      </c>
    </row>
    <row r="84" spans="1:11">
      <c r="B84" s="5" t="s">
        <v>23</v>
      </c>
      <c r="E84" s="18">
        <f>(E82 / AVERAGE('V25'!E82,'V26'!E82,'V27'!E82,'V28'!E82)) * 100</f>
        <v>100.2903397221454</v>
      </c>
      <c r="F84" s="18">
        <f>(F82 / AVERAGE('V25'!F82,'V26'!F82,'V27'!F82,'V28'!F82)) * 100</f>
        <v>100.44712310290322</v>
      </c>
      <c r="G84" s="18">
        <f>(G82 / AVERAGE('V25'!G82,'V26'!G82,'V27'!G82,'V28'!G82)) * 100</f>
        <v>101.01434730603269</v>
      </c>
      <c r="H84" s="14">
        <f>IFERROR((G84*0.6)+(F84*0.4),"")</f>
        <v>100.7874576247809</v>
      </c>
    </row>
    <row r="85" spans="1:11">
      <c r="A85" s="1">
        <v>9</v>
      </c>
      <c r="C85" s="2" t="s">
        <v>73</v>
      </c>
      <c r="D85" s="2" t="s">
        <v>5</v>
      </c>
      <c r="E85" s="2" t="s">
        <v>6</v>
      </c>
      <c r="F85" s="2" t="s">
        <v>7</v>
      </c>
      <c r="G85" s="2" t="s">
        <v>8</v>
      </c>
      <c r="H85" s="2" t="s">
        <v>9</v>
      </c>
      <c r="I85" s="2" t="s">
        <v>10</v>
      </c>
      <c r="J85" s="2" t="s">
        <v>11</v>
      </c>
      <c r="K85" s="2" t="s">
        <v>12</v>
      </c>
    </row>
    <row r="86" spans="1:11">
      <c r="B86" s="6" t="s">
        <v>74</v>
      </c>
      <c r="C86" s="2" t="s">
        <v>75</v>
      </c>
      <c r="D86" s="5" t="s">
        <v>76</v>
      </c>
      <c r="E86" s="7">
        <v>237</v>
      </c>
      <c r="F86" s="7">
        <v>8528.4</v>
      </c>
      <c r="G86" s="7">
        <v>1423.14</v>
      </c>
      <c r="H86" s="8">
        <f>IFERROR(G86/F86,"")</f>
        <v>0.16687069086815817</v>
      </c>
      <c r="I86" s="18">
        <f>IFERROR(((E86/$B$112) / AVERAGE('V25'!E86/'V25'!$B$112, 'V26'!E86/'V26'!$B$112, 'V27'!E86/'V27'!$B$112, 'V28'!E86/'V28'!$B$112)) * 100,"")</f>
        <v>96.850763407800457</v>
      </c>
      <c r="J86" s="18">
        <f>IFERROR(((F86/$B$112) / AVERAGE('V25'!F86/'V25'!$B$112, 'V26'!F86/'V26'!$B$112, 'V27'!F86/'V27'!$B$112, 'V28'!F86/'V28'!$B$112)) * 100,"")</f>
        <v>96.815386200911462</v>
      </c>
      <c r="K86" s="18">
        <f>IFERROR(((G86/$B$112) / AVERAGE('V25'!G86/'V25'!$B$112, 'V26'!G86/'V26'!$B$112, 'V27'!G86/'V27'!$B$112, 'V28'!G86/'V28'!$B$112)) * 100,"")</f>
        <v>94.674762458863285</v>
      </c>
    </row>
    <row r="87" spans="1:11">
      <c r="C87" s="2" t="s">
        <v>77</v>
      </c>
    </row>
    <row r="88" spans="1:11">
      <c r="C88" s="2" t="s">
        <v>78</v>
      </c>
    </row>
    <row r="89" spans="1:11">
      <c r="C89" s="2" t="s">
        <v>79</v>
      </c>
    </row>
    <row r="90" spans="1:11">
      <c r="C90" s="9" t="s">
        <v>19</v>
      </c>
      <c r="D90" s="10"/>
      <c r="E90" s="11">
        <f>SUM(E86:E89)</f>
        <v>237</v>
      </c>
      <c r="F90" s="11">
        <f>SUM(F86:F89)</f>
        <v>8528.4</v>
      </c>
      <c r="G90" s="11">
        <f>SUM(G86:G89)</f>
        <v>1423.14</v>
      </c>
      <c r="H90" s="12">
        <f>IFERROR(G90/F90,"")</f>
        <v>0.16687069086815817</v>
      </c>
    </row>
    <row r="91" spans="1:11">
      <c r="B91" s="5" t="s">
        <v>20</v>
      </c>
      <c r="E91" s="16">
        <f>IFERROR((E90-('V28'!E90))/('V28'!E90),"")</f>
        <v>0.16176470588235295</v>
      </c>
      <c r="F91" s="16">
        <f>IFERROR((F90-('V28'!F90))/('V28'!F90),"")</f>
        <v>0.16155920568766852</v>
      </c>
      <c r="G91" s="16">
        <f>IFERROR((G90-('V28'!G90))/('V28'!G90),"")</f>
        <v>0.16053429885507398</v>
      </c>
      <c r="H91" s="16">
        <f>IFERROR(H90-('V28'!H90),"")</f>
        <v>-1.4736911386356577E-4</v>
      </c>
    </row>
    <row r="92" spans="1:11">
      <c r="B92" s="5" t="s">
        <v>21</v>
      </c>
      <c r="E92" s="13">
        <f>E90/$B$112</f>
        <v>1.0888541762381696E-2</v>
      </c>
      <c r="F92" s="13">
        <f>F90/$B$112</f>
        <v>0.39182210787466687</v>
      </c>
      <c r="G92" s="13">
        <f>G90/$B$112</f>
        <v>6.538362583846366E-2</v>
      </c>
    </row>
    <row r="93" spans="1:11">
      <c r="B93" s="5" t="s">
        <v>22</v>
      </c>
      <c r="E93" s="8">
        <f>IFERROR((E92-'V28'!E92)/'V28'!E92,"")</f>
        <v>4.6901265330169493E-2</v>
      </c>
      <c r="F93" s="8">
        <f>IFERROR((F92-'V28'!F92)/'V28'!F92,"")</f>
        <v>4.6716082898002879E-2</v>
      </c>
      <c r="G93" s="8">
        <f>IFERROR((G92-'V28'!G92)/'V28'!G92,"")</f>
        <v>4.5792508395820004E-2</v>
      </c>
    </row>
    <row r="94" spans="1:11">
      <c r="B94" s="5" t="s">
        <v>23</v>
      </c>
      <c r="E94" s="18">
        <f>(E92 / AVERAGE('V25'!E92,'V26'!E92,'V27'!E92,'V28'!E92)) * 100</f>
        <v>96.850763407800457</v>
      </c>
      <c r="F94" s="18">
        <f>(F92 / AVERAGE('V25'!F92,'V26'!F92,'V27'!F92,'V28'!F92)) * 100</f>
        <v>96.815386200911462</v>
      </c>
      <c r="G94" s="18">
        <f>(G92 / AVERAGE('V25'!G92,'V26'!G92,'V27'!G92,'V28'!G92)) * 100</f>
        <v>94.674762458863285</v>
      </c>
      <c r="H94" s="14">
        <f>IFERROR((G94*0.6)+(F94*0.4),"")</f>
        <v>95.531011955682544</v>
      </c>
    </row>
    <row r="95" spans="1:11">
      <c r="A95" s="1">
        <v>10</v>
      </c>
      <c r="C95" s="2" t="s">
        <v>80</v>
      </c>
      <c r="D95" s="2" t="s">
        <v>5</v>
      </c>
      <c r="E95" s="2" t="s">
        <v>6</v>
      </c>
      <c r="F95" s="2" t="s">
        <v>7</v>
      </c>
      <c r="G95" s="2" t="s">
        <v>8</v>
      </c>
      <c r="H95" s="2" t="s">
        <v>9</v>
      </c>
      <c r="I95" s="2" t="s">
        <v>10</v>
      </c>
      <c r="J95" s="2" t="s">
        <v>11</v>
      </c>
      <c r="K95" s="2" t="s">
        <v>12</v>
      </c>
    </row>
    <row r="96" spans="1:11">
      <c r="B96" s="6" t="s">
        <v>81</v>
      </c>
      <c r="C96" s="2" t="s">
        <v>82</v>
      </c>
      <c r="D96" s="5" t="s">
        <v>83</v>
      </c>
      <c r="E96" s="7">
        <v>312</v>
      </c>
      <c r="F96" s="7">
        <v>11232</v>
      </c>
      <c r="G96" s="7">
        <v>1848.26</v>
      </c>
      <c r="H96" s="8">
        <f>IFERROR(G96/F96,"")</f>
        <v>0.16455306267806269</v>
      </c>
      <c r="I96" s="18">
        <f>IFERROR(((E96/$B$112) / AVERAGE('V25'!E96/'V25'!$B$112, 'V26'!E96/'V26'!$B$112, 'V27'!E96/'V27'!$B$112, 'V28'!E96/'V28'!$B$112)) * 100,"")</f>
        <v>105.22347526324882</v>
      </c>
      <c r="J96" s="18">
        <f>IFERROR(((F96/$B$112) / AVERAGE('V25'!F96/'V25'!$B$112, 'V26'!F96/'V26'!$B$112, 'V27'!F96/'V27'!$B$112, 'V28'!F96/'V28'!$B$112)) * 100,"")</f>
        <v>105.23930416604786</v>
      </c>
      <c r="K96" s="18">
        <f>IFERROR(((G96/$B$112) / AVERAGE('V25'!G96/'V25'!$B$112, 'V26'!G96/'V26'!$B$112, 'V27'!G96/'V27'!$B$112, 'V28'!G96/'V28'!$B$112)) * 100,"")</f>
        <v>101.15061228399966</v>
      </c>
    </row>
    <row r="97" spans="2:8">
      <c r="C97" s="2" t="s">
        <v>84</v>
      </c>
    </row>
    <row r="98" spans="2:8">
      <c r="C98" s="2" t="s">
        <v>85</v>
      </c>
    </row>
    <row r="99" spans="2:8">
      <c r="C99" s="2" t="s">
        <v>86</v>
      </c>
    </row>
    <row r="100" spans="2:8">
      <c r="C100" s="9" t="s">
        <v>19</v>
      </c>
      <c r="D100" s="10"/>
      <c r="E100" s="11">
        <f>SUM(E96:E99)</f>
        <v>312</v>
      </c>
      <c r="F100" s="11">
        <f>SUM(F96:F99)</f>
        <v>11232</v>
      </c>
      <c r="G100" s="11">
        <f>SUM(G96:G99)</f>
        <v>1848.26</v>
      </c>
      <c r="H100" s="12">
        <f>IFERROR(G100/F100,"")</f>
        <v>0.16455306267806269</v>
      </c>
    </row>
    <row r="101" spans="2:8">
      <c r="B101" s="5" t="s">
        <v>20</v>
      </c>
      <c r="E101" s="16">
        <f>IFERROR((E100-('V28'!E100))/('V28'!E100),"")</f>
        <v>0.28925619834710742</v>
      </c>
      <c r="F101" s="16">
        <f>IFERROR((F100-('V28'!F100))/('V28'!F100),"")</f>
        <v>0.28925619834710742</v>
      </c>
      <c r="G101" s="16">
        <f>IFERROR((G100-('V28'!G100))/('V28'!G100),"")</f>
        <v>0.26867741138354251</v>
      </c>
      <c r="H101" s="16">
        <f>IFERROR(H100-('V28'!H100),"")</f>
        <v>-2.6691595441595273E-3</v>
      </c>
    </row>
    <row r="102" spans="2:8">
      <c r="B102" s="5" t="s">
        <v>21</v>
      </c>
      <c r="E102" s="13">
        <f>E100/$B$112</f>
        <v>1.4334282826426537E-2</v>
      </c>
      <c r="F102" s="13">
        <f>F100/$B$112</f>
        <v>0.51603418175135529</v>
      </c>
      <c r="G102" s="13">
        <f>G100/$B$112</f>
        <v>8.4915005053753559E-2</v>
      </c>
    </row>
    <row r="103" spans="2:8">
      <c r="B103" s="5" t="s">
        <v>22</v>
      </c>
      <c r="E103" s="8">
        <f>IFERROR((E102-'V28'!E102)/'V28'!E102,"")</f>
        <v>0.16178769982450444</v>
      </c>
      <c r="F103" s="8">
        <f>IFERROR((F102-'V28'!F102)/'V28'!F102,"")</f>
        <v>0.16178769982450442</v>
      </c>
      <c r="G103" s="8">
        <f>IFERROR((G102-'V28'!G102)/'V28'!G102,"")</f>
        <v>0.14324353334911338</v>
      </c>
    </row>
    <row r="104" spans="2:8">
      <c r="B104" s="5" t="s">
        <v>23</v>
      </c>
      <c r="E104" s="18">
        <f>(E102 / AVERAGE('V25'!E102,'V26'!E102,'V27'!E102,'V28'!E102)) * 100</f>
        <v>105.22347526324882</v>
      </c>
      <c r="F104" s="18">
        <f>(F102 / AVERAGE('V25'!F102,'V26'!F102,'V27'!F102,'V28'!F102)) * 100</f>
        <v>105.23930416604786</v>
      </c>
      <c r="G104" s="18">
        <f>(G102 / AVERAGE('V25'!G102,'V26'!G102,'V27'!G102,'V28'!G102)) * 100</f>
        <v>101.15061228399966</v>
      </c>
      <c r="H104" s="14">
        <f>IFERROR((G104*0.6)+(F104*0.4),"")</f>
        <v>102.78608903681894</v>
      </c>
    </row>
    <row r="106" spans="2:8">
      <c r="B106" s="2" t="s">
        <v>87</v>
      </c>
      <c r="E106" s="15">
        <f>E10+E20+E30+E40+E50+E60+E70+E80+E90+E100</f>
        <v>3071</v>
      </c>
      <c r="F106" s="15">
        <f>F10+F20+F30+F40+F50+F60+F70+F80+F90+F100</f>
        <v>101945.81</v>
      </c>
      <c r="G106" s="15">
        <f>G10+G20+G30+G40+G50+G60+G70+G80+G90+G100</f>
        <v>19337.109999999993</v>
      </c>
      <c r="H106" s="16">
        <f>IFERROR(G106/F106,"")</f>
        <v>0.18968028210281515</v>
      </c>
    </row>
    <row r="107" spans="2:8">
      <c r="B107" s="5" t="s">
        <v>88</v>
      </c>
      <c r="E107" s="16">
        <f>IFERROR((E106-'V28'!E106)/'V28'!E106,"")</f>
        <v>0.30072003388394747</v>
      </c>
      <c r="F107" s="16">
        <f>IFERROR((F106-'V28'!F106)/'V28'!F106,"")</f>
        <v>0.35241297902857849</v>
      </c>
      <c r="G107" s="16">
        <f>IFERROR((G106-'V28'!G106)/'V28'!G106,"")</f>
        <v>0.35703969548362408</v>
      </c>
      <c r="H107" s="16">
        <f>IFERROR(H106-'V28'!H106,"")</f>
        <v>6.4669949252296743E-4</v>
      </c>
    </row>
    <row r="108" spans="2:8">
      <c r="B108" s="5" t="s">
        <v>21</v>
      </c>
      <c r="E108" s="13">
        <f>E106/$B$112</f>
        <v>0.14109161076908941</v>
      </c>
      <c r="F108" s="13">
        <f>F106/$B$112</f>
        <v>4.6837181843241753</v>
      </c>
      <c r="G108" s="13">
        <f>G106/$B$112</f>
        <v>0.88840898649269473</v>
      </c>
    </row>
    <row r="109" spans="2:8">
      <c r="B109" s="5" t="s">
        <v>22</v>
      </c>
      <c r="E109" s="8">
        <f>IFERROR((E108-'V28'!E108)/'V28'!E108,"")</f>
        <v>0.1721181082697669</v>
      </c>
      <c r="F109" s="8">
        <f>IFERROR((F108-'V28'!F108)/'V28'!F108,"")</f>
        <v>0.2187001824251833</v>
      </c>
      <c r="G109" s="8">
        <f>IFERROR((G108-'V28'!G108)/'V28'!G108,"")</f>
        <v>0.22286945636386121</v>
      </c>
    </row>
    <row r="110" spans="2:8">
      <c r="B110" s="5" t="s">
        <v>23</v>
      </c>
      <c r="E110" s="18">
        <f>IFERROR((E108 / AVERAGE('V25'!E108,'V26'!E108,'V27'!E108,'V28'!E108)) * 100,"")</f>
        <v>113.22732037797169</v>
      </c>
      <c r="F110" s="18">
        <f>IFERROR((F108 / AVERAGE('V25'!F108,'V26'!F108,'V27'!F108,'V28'!F108)) * 100,"")</f>
        <v>109.86638073882887</v>
      </c>
      <c r="G110" s="18">
        <f>IFERROR((G108 / AVERAGE('V25'!G108,'V26'!G108,'V27'!G108,'V28'!G108)) * 100,"")</f>
        <v>120.90022625945818</v>
      </c>
      <c r="H110" s="14">
        <f>IFERROR((G110*0.6)+(F110*0.4),"")</f>
        <v>116.48668805120646</v>
      </c>
    </row>
    <row r="111" spans="2:8">
      <c r="B111" s="5" t="s">
        <v>89</v>
      </c>
      <c r="C111" s="5" t="s">
        <v>90</v>
      </c>
      <c r="D111" s="5" t="s">
        <v>91</v>
      </c>
    </row>
    <row r="112" spans="2:8">
      <c r="B112" s="17">
        <v>21766</v>
      </c>
      <c r="C112" s="17">
        <f>B112-'V28'!$B$112</f>
        <v>2152</v>
      </c>
      <c r="D112" s="19">
        <f>C112/'V28'!$B$112</f>
        <v>0.10971754868971142</v>
      </c>
    </row>
  </sheetData>
  <conditionalFormatting sqref="E11:G11">
    <cfRule type="cellIs" dxfId="307" priority="1" operator="lessThan">
      <formula>0</formula>
    </cfRule>
    <cfRule type="cellIs" dxfId="306" priority="2" operator="greaterThan">
      <formula>0</formula>
    </cfRule>
  </conditionalFormatting>
  <conditionalFormatting sqref="E21:G21">
    <cfRule type="cellIs" dxfId="305" priority="3" operator="lessThan">
      <formula>0</formula>
    </cfRule>
    <cfRule type="cellIs" dxfId="304" priority="4" operator="greaterThan">
      <formula>0</formula>
    </cfRule>
  </conditionalFormatting>
  <conditionalFormatting sqref="E31:G31">
    <cfRule type="cellIs" dxfId="303" priority="5" operator="lessThan">
      <formula>0</formula>
    </cfRule>
    <cfRule type="cellIs" dxfId="302" priority="6" operator="greaterThan">
      <formula>0</formula>
    </cfRule>
  </conditionalFormatting>
  <conditionalFormatting sqref="E41:G41">
    <cfRule type="cellIs" dxfId="301" priority="7" operator="lessThan">
      <formula>0</formula>
    </cfRule>
    <cfRule type="cellIs" dxfId="300" priority="8" operator="greaterThan">
      <formula>0</formula>
    </cfRule>
  </conditionalFormatting>
  <conditionalFormatting sqref="E51:G51">
    <cfRule type="cellIs" dxfId="299" priority="9" operator="lessThan">
      <formula>0</formula>
    </cfRule>
    <cfRule type="cellIs" dxfId="298" priority="10" operator="greaterThan">
      <formula>0</formula>
    </cfRule>
  </conditionalFormatting>
  <conditionalFormatting sqref="E61:G61">
    <cfRule type="cellIs" dxfId="297" priority="11" operator="lessThan">
      <formula>0</formula>
    </cfRule>
    <cfRule type="cellIs" dxfId="296" priority="12" operator="greaterThan">
      <formula>0</formula>
    </cfRule>
  </conditionalFormatting>
  <conditionalFormatting sqref="E71:G71">
    <cfRule type="cellIs" dxfId="295" priority="13" operator="lessThan">
      <formula>0</formula>
    </cfRule>
    <cfRule type="cellIs" dxfId="294" priority="14" operator="greaterThan">
      <formula>0</formula>
    </cfRule>
  </conditionalFormatting>
  <conditionalFormatting sqref="E81:G81">
    <cfRule type="cellIs" dxfId="293" priority="15" operator="lessThan">
      <formula>0</formula>
    </cfRule>
    <cfRule type="cellIs" dxfId="292" priority="16" operator="greaterThan">
      <formula>0</formula>
    </cfRule>
  </conditionalFormatting>
  <conditionalFormatting sqref="E91:G91">
    <cfRule type="cellIs" dxfId="291" priority="17" operator="lessThan">
      <formula>0</formula>
    </cfRule>
    <cfRule type="cellIs" dxfId="290" priority="18" operator="greaterThan">
      <formula>0</formula>
    </cfRule>
  </conditionalFormatting>
  <conditionalFormatting sqref="E101:G101">
    <cfRule type="cellIs" dxfId="289" priority="19" operator="lessThan">
      <formula>0</formula>
    </cfRule>
    <cfRule type="cellIs" dxfId="288" priority="20" operator="greaterThan">
      <formula>0</formula>
    </cfRule>
  </conditionalFormatting>
  <conditionalFormatting sqref="E107:G107">
    <cfRule type="cellIs" dxfId="287" priority="21" operator="lessThan">
      <formula>0</formula>
    </cfRule>
    <cfRule type="cellIs" dxfId="286" priority="22" operator="greaterThan">
      <formula>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2"/>
  <sheetViews>
    <sheetView zoomScaleNormal="100" zoomScaleSheetLayoutView="100" workbookViewId="0"/>
  </sheetViews>
  <sheetFormatPr defaultRowHeight="15"/>
  <cols>
    <col min="2" max="2" width="16" customWidth="1"/>
    <col min="4" max="4" width="26" customWidth="1"/>
    <col min="5" max="5" width="10" customWidth="1"/>
    <col min="6" max="7" width="12" customWidth="1"/>
    <col min="8" max="8" width="10" customWidth="1"/>
    <col min="9" max="11" width="12" customWidth="1"/>
  </cols>
  <sheetData>
    <row r="1" spans="1:11">
      <c r="A1" s="1" t="s">
        <v>0</v>
      </c>
    </row>
    <row r="3" spans="1:11">
      <c r="C3" s="2" t="s">
        <v>106</v>
      </c>
    </row>
    <row r="4" spans="1:11">
      <c r="C4" s="3" t="s">
        <v>107</v>
      </c>
      <c r="I4" s="4">
        <v>30</v>
      </c>
      <c r="J4" s="5" t="s">
        <v>3</v>
      </c>
    </row>
    <row r="5" spans="1:11">
      <c r="A5" s="1">
        <v>1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</row>
    <row r="6" spans="1:11">
      <c r="B6" s="6" t="s">
        <v>104</v>
      </c>
      <c r="C6" s="2" t="s">
        <v>14</v>
      </c>
      <c r="D6" s="5" t="s">
        <v>105</v>
      </c>
      <c r="E6" s="7">
        <v>210</v>
      </c>
      <c r="F6" s="7">
        <v>15108</v>
      </c>
      <c r="G6" s="7">
        <v>3768</v>
      </c>
      <c r="H6" s="8">
        <f>IFERROR(G6/F6,"")</f>
        <v>0.24940428911834789</v>
      </c>
      <c r="I6" s="18">
        <f>IFERROR(((E6/$B$112) / AVERAGE('V25'!E6/'V25'!$B$112, 'V26'!E6/'V26'!$B$112, 'V27'!E6/'V27'!$B$112, 'V28'!E6/'V28'!$B$112, 'V29'!E6/'V29'!$B$112)) * 100,"")</f>
        <v>155.08851425390523</v>
      </c>
      <c r="J6" s="18">
        <f>IFERROR(((F6/$B$112) / AVERAGE('V25'!F6/'V25'!$B$112, 'V26'!F6/'V26'!$B$112, 'V27'!F6/'V27'!$B$112, 'V28'!F6/'V28'!$B$112, 'V29'!F6/'V29'!$B$112)) * 100,"")</f>
        <v>155.70785849656147</v>
      </c>
      <c r="K6" s="18">
        <f>IFERROR(((G6/$B$112) / AVERAGE('V25'!G6/'V25'!$B$112, 'V26'!G6/'V26'!$B$112, 'V27'!G6/'V27'!$B$112, 'V28'!G6/'V28'!$B$112, 'V29'!G6/'V29'!$B$112)) * 100,"")</f>
        <v>166.42802576842297</v>
      </c>
    </row>
    <row r="7" spans="1:11">
      <c r="C7" s="2" t="s">
        <v>16</v>
      </c>
    </row>
    <row r="8" spans="1:11">
      <c r="C8" s="2" t="s">
        <v>17</v>
      </c>
    </row>
    <row r="9" spans="1:11">
      <c r="C9" s="2" t="s">
        <v>18</v>
      </c>
    </row>
    <row r="10" spans="1:11">
      <c r="C10" s="9" t="s">
        <v>19</v>
      </c>
      <c r="D10" s="10"/>
      <c r="E10" s="11">
        <f>SUM(E6:E9)</f>
        <v>210</v>
      </c>
      <c r="F10" s="11">
        <f>SUM(F6:F9)</f>
        <v>15108</v>
      </c>
      <c r="G10" s="11">
        <f>SUM(G6:G9)</f>
        <v>3768</v>
      </c>
      <c r="H10" s="12">
        <f>IFERROR(G10/F10,"")</f>
        <v>0.24940428911834789</v>
      </c>
    </row>
    <row r="11" spans="1:11">
      <c r="B11" s="5" t="s">
        <v>20</v>
      </c>
      <c r="E11" s="16">
        <f>IFERROR((E10-('V29'!E10))/('V29'!E10),"")</f>
        <v>1.1212121212121211</v>
      </c>
      <c r="F11" s="16">
        <f>IFERROR((F10-('V29'!F10))/('V29'!F10),"")</f>
        <v>1.1207067899674903</v>
      </c>
      <c r="G11" s="16">
        <f>IFERROR((G10-('V29'!G10))/('V29'!G10),"")</f>
        <v>1.1191874198555714</v>
      </c>
      <c r="H11" s="16">
        <f>IFERROR(H10-('V29'!H10),"")</f>
        <v>-1.788126048316574E-4</v>
      </c>
    </row>
    <row r="12" spans="1:11">
      <c r="B12" s="5" t="s">
        <v>21</v>
      </c>
      <c r="E12" s="13">
        <f>E10/$B$112</f>
        <v>9.3420525824102502E-3</v>
      </c>
      <c r="F12" s="13">
        <f>F10/$B$112</f>
        <v>0.67209395435740027</v>
      </c>
      <c r="G12" s="13">
        <f>G10/$B$112</f>
        <v>0.16762311490724677</v>
      </c>
    </row>
    <row r="13" spans="1:11">
      <c r="B13" s="5" t="s">
        <v>22</v>
      </c>
      <c r="E13" s="8">
        <f>IFERROR((E12-'V29'!E12)/'V29'!E12,"")</f>
        <v>1.0539304697852676</v>
      </c>
      <c r="F13" s="8">
        <f>IFERROR((F12-'V29'!F12)/'V29'!F12,"")</f>
        <v>1.0534411668860892</v>
      </c>
      <c r="G13" s="8">
        <f>IFERROR((G12-'V29'!G12)/'V29'!G12,"")</f>
        <v>1.0519699889041489</v>
      </c>
    </row>
    <row r="14" spans="1:11">
      <c r="B14" s="5" t="s">
        <v>23</v>
      </c>
      <c r="E14" s="18">
        <f>(E12 / AVERAGE('V25'!E12,'V26'!E12,'V27'!E12,'V28'!E12,'V29'!E12)) * 100</f>
        <v>155.08851425390523</v>
      </c>
      <c r="F14" s="18">
        <f>(F12 / AVERAGE('V25'!F12,'V26'!F12,'V27'!F12,'V28'!F12,'V29'!F12)) * 100</f>
        <v>155.70785849656147</v>
      </c>
      <c r="G14" s="18">
        <f>(G12 / AVERAGE('V25'!G12,'V26'!G12,'V27'!G12,'V28'!G12,'V29'!G12)) * 100</f>
        <v>166.42802576842297</v>
      </c>
      <c r="H14" s="14">
        <f>IFERROR((G14*0.6)+(F14*0.4),"")</f>
        <v>162.13995885967836</v>
      </c>
    </row>
    <row r="15" spans="1:11">
      <c r="A15" s="1">
        <v>2</v>
      </c>
      <c r="C15" s="2" t="s">
        <v>24</v>
      </c>
      <c r="D15" s="2" t="s">
        <v>5</v>
      </c>
      <c r="E15" s="2" t="s">
        <v>6</v>
      </c>
      <c r="F15" s="2" t="s">
        <v>7</v>
      </c>
      <c r="G15" s="2" t="s">
        <v>8</v>
      </c>
      <c r="H15" s="2" t="s">
        <v>9</v>
      </c>
      <c r="I15" s="2" t="s">
        <v>10</v>
      </c>
      <c r="J15" s="2" t="s">
        <v>11</v>
      </c>
      <c r="K15" s="2" t="s">
        <v>12</v>
      </c>
    </row>
    <row r="16" spans="1:11">
      <c r="B16" s="6" t="s">
        <v>25</v>
      </c>
      <c r="C16" s="2" t="s">
        <v>26</v>
      </c>
      <c r="D16" s="5" t="s">
        <v>27</v>
      </c>
      <c r="E16" s="7">
        <v>200</v>
      </c>
      <c r="F16" s="7">
        <v>3991</v>
      </c>
      <c r="G16" s="7">
        <v>801</v>
      </c>
      <c r="H16" s="8">
        <f>IFERROR(G16/F16,"")</f>
        <v>0.20070157855174142</v>
      </c>
      <c r="I16" s="18">
        <f>IFERROR(((E16/$B$112) / AVERAGE('V25'!E16/'V25'!$B$112, 'V26'!E16/'V26'!$B$112, 'V27'!E16/'V27'!$B$112, 'V28'!E16/'V28'!$B$112, 'V29'!E16/'V29'!$B$112)) * 100,"")</f>
        <v>96.548066223706016</v>
      </c>
      <c r="J16" s="18">
        <f>IFERROR(((F16/$B$112) / AVERAGE('V25'!F16/'V25'!$B$112, 'V26'!F16/'V26'!$B$112, 'V27'!F16/'V27'!$B$112, 'V28'!F16/'V28'!$B$112, 'V29'!F16/'V29'!$B$112)) * 100,"")</f>
        <v>95.677715428386264</v>
      </c>
      <c r="K16" s="18">
        <f>IFERROR(((G16/$B$112) / AVERAGE('V25'!G16/'V25'!$B$112, 'V26'!G16/'V26'!$B$112, 'V27'!G16/'V27'!$B$112, 'V28'!G16/'V28'!$B$112, 'V29'!G16/'V29'!$B$112)) * 100,"")</f>
        <v>93.357212309375868</v>
      </c>
    </row>
    <row r="17" spans="1:11">
      <c r="C17" s="2" t="s">
        <v>28</v>
      </c>
    </row>
    <row r="18" spans="1:11">
      <c r="C18" s="2" t="s">
        <v>29</v>
      </c>
    </row>
    <row r="19" spans="1:11">
      <c r="C19" s="2" t="s">
        <v>30</v>
      </c>
    </row>
    <row r="20" spans="1:11">
      <c r="C20" s="9" t="s">
        <v>19</v>
      </c>
      <c r="D20" s="10"/>
      <c r="E20" s="11">
        <f>SUM(E16:E19)</f>
        <v>200</v>
      </c>
      <c r="F20" s="11">
        <f>SUM(F16:F19)</f>
        <v>3991</v>
      </c>
      <c r="G20" s="11">
        <f>SUM(G16:G19)</f>
        <v>801</v>
      </c>
      <c r="H20" s="12">
        <f>IFERROR(G20/F20,"")</f>
        <v>0.20070157855174142</v>
      </c>
    </row>
    <row r="21" spans="1:11">
      <c r="B21" s="5" t="s">
        <v>20</v>
      </c>
      <c r="E21" s="16">
        <f>IFERROR((E20-('V29'!E20))/('V29'!E20),"")</f>
        <v>-6.9767441860465115E-2</v>
      </c>
      <c r="F21" s="16">
        <f>IFERROR((F20-('V29'!F20))/('V29'!F20),"")</f>
        <v>-6.9352044230845428E-2</v>
      </c>
      <c r="G21" s="16">
        <f>IFERROR((G20-('V29'!G20))/('V29'!G20),"")</f>
        <v>-6.7694026723776682E-2</v>
      </c>
      <c r="H21" s="16">
        <f>IFERROR(H20-('V29'!H20),"")</f>
        <v>3.5692866985045923E-4</v>
      </c>
    </row>
    <row r="22" spans="1:11">
      <c r="B22" s="5" t="s">
        <v>21</v>
      </c>
      <c r="E22" s="13">
        <f>E20/$B$112</f>
        <v>8.8971929356288088E-3</v>
      </c>
      <c r="F22" s="13">
        <f>F20/$B$112</f>
        <v>0.17754348503047288</v>
      </c>
      <c r="G22" s="13">
        <f>G20/$B$112</f>
        <v>3.5633257707193382E-2</v>
      </c>
    </row>
    <row r="23" spans="1:11">
      <c r="B23" s="5" t="s">
        <v>22</v>
      </c>
      <c r="E23" s="8">
        <f>IFERROR((E22-'V29'!E22)/'V29'!E22,"")</f>
        <v>-9.9273016572573744E-2</v>
      </c>
      <c r="F23" s="8">
        <f>IFERROR((F22-'V29'!F22)/'V29'!F22,"")</f>
        <v>-9.8870794729684713E-2</v>
      </c>
      <c r="G23" s="8">
        <f>IFERROR((G22-'V29'!G22)/'V29'!G22,"")</f>
        <v>-9.7265367039001877E-2</v>
      </c>
    </row>
    <row r="24" spans="1:11">
      <c r="B24" s="5" t="s">
        <v>23</v>
      </c>
      <c r="E24" s="18">
        <f>(E22 / AVERAGE('V25'!E22,'V26'!E22,'V27'!E22,'V28'!E22,'V29'!E22)) * 100</f>
        <v>96.548066223706016</v>
      </c>
      <c r="F24" s="18">
        <f>(F22 / AVERAGE('V25'!F22,'V26'!F22,'V27'!F22,'V28'!F22,'V29'!F22)) * 100</f>
        <v>95.677715428386264</v>
      </c>
      <c r="G24" s="18">
        <f>(G22 / AVERAGE('V25'!G22,'V26'!G22,'V27'!G22,'V28'!G22,'V29'!G22)) * 100</f>
        <v>93.357212309375868</v>
      </c>
      <c r="H24" s="14">
        <f>IFERROR((G24*0.6)+(F24*0.4),"")</f>
        <v>94.285413556980018</v>
      </c>
    </row>
    <row r="25" spans="1:11">
      <c r="A25" s="1">
        <v>3</v>
      </c>
      <c r="C25" s="2" t="s">
        <v>31</v>
      </c>
      <c r="D25" s="2" t="s">
        <v>5</v>
      </c>
      <c r="E25" s="2" t="s">
        <v>6</v>
      </c>
      <c r="F25" s="2" t="s">
        <v>7</v>
      </c>
      <c r="G25" s="2" t="s">
        <v>8</v>
      </c>
      <c r="H25" s="2" t="s">
        <v>9</v>
      </c>
      <c r="I25" s="2" t="s">
        <v>10</v>
      </c>
      <c r="J25" s="2" t="s">
        <v>11</v>
      </c>
      <c r="K25" s="2" t="s">
        <v>12</v>
      </c>
    </row>
    <row r="26" spans="1:11">
      <c r="B26" s="6" t="s">
        <v>32</v>
      </c>
      <c r="C26" s="2" t="s">
        <v>33</v>
      </c>
      <c r="D26" s="5" t="s">
        <v>34</v>
      </c>
      <c r="E26" s="7">
        <v>539</v>
      </c>
      <c r="F26" s="7">
        <v>12735.76</v>
      </c>
      <c r="G26" s="7">
        <v>2812</v>
      </c>
      <c r="H26" s="8">
        <f>IFERROR(G26/F26,"")</f>
        <v>0.22079561800787703</v>
      </c>
      <c r="I26" s="18">
        <f>IFERROR(((E26/$B$112) / AVERAGE('V25'!E26/'V25'!$B$112, 'V26'!E26/'V26'!$B$112, 'V27'!E26/'V27'!$B$112, 'V28'!E26/'V28'!$B$112, 'V29'!E26/'V29'!$B$112)) * 100,"")</f>
        <v>79.71678366322341</v>
      </c>
      <c r="J26" s="18">
        <f>IFERROR(((F26/$B$112) / AVERAGE('V25'!F26/'V25'!$B$112, 'V26'!F26/'V26'!$B$112, 'V27'!F26/'V27'!$B$112, 'V28'!F26/'V28'!$B$112, 'V29'!F26/'V29'!$B$112)) * 100,"")</f>
        <v>79.728629665472027</v>
      </c>
      <c r="K26" s="18">
        <f>IFERROR(((G26/$B$112) / AVERAGE('V25'!G26/'V25'!$B$112, 'V26'!G26/'V26'!$B$112, 'V27'!G26/'V27'!$B$112, 'V28'!G26/'V28'!$B$112, 'V29'!G26/'V29'!$B$112)) * 100,"")</f>
        <v>79.64021126309926</v>
      </c>
    </row>
    <row r="27" spans="1:11">
      <c r="C27" s="2" t="s">
        <v>35</v>
      </c>
    </row>
    <row r="28" spans="1:11">
      <c r="C28" s="2" t="s">
        <v>36</v>
      </c>
    </row>
    <row r="29" spans="1:11">
      <c r="C29" s="2" t="s">
        <v>37</v>
      </c>
    </row>
    <row r="30" spans="1:11">
      <c r="C30" s="9" t="s">
        <v>19</v>
      </c>
      <c r="D30" s="10"/>
      <c r="E30" s="11">
        <f>SUM(E26:E29)</f>
        <v>539</v>
      </c>
      <c r="F30" s="11">
        <f>SUM(F26:F29)</f>
        <v>12735.76</v>
      </c>
      <c r="G30" s="11">
        <f>SUM(G26:G29)</f>
        <v>2812</v>
      </c>
      <c r="H30" s="12">
        <f>IFERROR(G30/F30,"")</f>
        <v>0.22079561800787703</v>
      </c>
    </row>
    <row r="31" spans="1:11">
      <c r="B31" s="5" t="s">
        <v>20</v>
      </c>
      <c r="E31" s="16">
        <f>IFERROR((E30-('V29'!E30))/('V29'!E30),"")</f>
        <v>-0.32371392722710163</v>
      </c>
      <c r="F31" s="16">
        <f>IFERROR((F30-('V29'!F30))/('V29'!F30),"")</f>
        <v>-0.32354178440462478</v>
      </c>
      <c r="G31" s="16">
        <f>IFERROR((G30-('V29'!G30))/('V29'!G30),"")</f>
        <v>-0.3340280409245926</v>
      </c>
      <c r="H31" s="16">
        <f>IFERROR(H30-('V29'!H30),"")</f>
        <v>-3.4766020661438357E-3</v>
      </c>
    </row>
    <row r="32" spans="1:11">
      <c r="B32" s="5" t="s">
        <v>21</v>
      </c>
      <c r="E32" s="13">
        <f>E30/$B$112</f>
        <v>2.3977934961519641E-2</v>
      </c>
      <c r="F32" s="13">
        <f>F30/$B$112</f>
        <v>0.56656256950931982</v>
      </c>
      <c r="G32" s="13">
        <f>G30/$B$112</f>
        <v>0.12509453267494106</v>
      </c>
    </row>
    <row r="33" spans="1:11">
      <c r="B33" s="5" t="s">
        <v>22</v>
      </c>
      <c r="E33" s="8">
        <f>IFERROR((E32-'V29'!E32)/'V29'!E32,"")</f>
        <v>-0.34516470216758277</v>
      </c>
      <c r="F33" s="8">
        <f>IFERROR((F32-'V29'!F32)/'V29'!F32,"")</f>
        <v>-0.34499801945598391</v>
      </c>
      <c r="G33" s="8">
        <f>IFERROR((G32-'V29'!G32)/'V29'!G32,"")</f>
        <v>-0.35515166772386147</v>
      </c>
    </row>
    <row r="34" spans="1:11">
      <c r="B34" s="5" t="s">
        <v>23</v>
      </c>
      <c r="E34" s="18">
        <f>(E32 / AVERAGE('V25'!E32,'V26'!E32,'V27'!E32,'V28'!E32,'V29'!E32)) * 100</f>
        <v>79.71678366322341</v>
      </c>
      <c r="F34" s="18">
        <f>(F32 / AVERAGE('V25'!F32,'V26'!F32,'V27'!F32,'V28'!F32,'V29'!F32)) * 100</f>
        <v>79.728629665472027</v>
      </c>
      <c r="G34" s="18">
        <f>(G32 / AVERAGE('V25'!G32,'V26'!G32,'V27'!G32,'V28'!G32,'V29'!G32)) * 100</f>
        <v>79.64021126309926</v>
      </c>
      <c r="H34" s="14">
        <f>IFERROR((G34*0.6)+(F34*0.4),"")</f>
        <v>79.67557862404837</v>
      </c>
    </row>
    <row r="35" spans="1:11">
      <c r="A35" s="1">
        <v>4</v>
      </c>
      <c r="C35" s="2" t="s">
        <v>38</v>
      </c>
      <c r="D35" s="2" t="s">
        <v>5</v>
      </c>
      <c r="E35" s="2" t="s">
        <v>6</v>
      </c>
      <c r="F35" s="2" t="s">
        <v>7</v>
      </c>
      <c r="G35" s="2" t="s">
        <v>8</v>
      </c>
      <c r="H35" s="2" t="s">
        <v>9</v>
      </c>
      <c r="I35" s="2" t="s">
        <v>10</v>
      </c>
      <c r="J35" s="2" t="s">
        <v>11</v>
      </c>
      <c r="K35" s="2" t="s">
        <v>12</v>
      </c>
    </row>
    <row r="36" spans="1:11">
      <c r="B36" s="6" t="s">
        <v>39</v>
      </c>
      <c r="C36" s="2" t="s">
        <v>40</v>
      </c>
      <c r="D36" s="5" t="s">
        <v>41</v>
      </c>
      <c r="E36" s="7">
        <v>494</v>
      </c>
      <c r="F36" s="7">
        <v>11670.56</v>
      </c>
      <c r="G36" s="7">
        <v>2603</v>
      </c>
      <c r="H36" s="8">
        <f>IFERROR(G36/F36,"")</f>
        <v>0.22303985412867935</v>
      </c>
      <c r="I36" s="18">
        <f>IFERROR(((E36/$B$112) / AVERAGE('V25'!E36/'V25'!$B$112, 'V26'!E36/'V26'!$B$112, 'V27'!E36/'V27'!$B$112, 'V28'!E36/'V28'!$B$112, 'V29'!E36/'V29'!$B$112)) * 100,"")</f>
        <v>78.05931189456183</v>
      </c>
      <c r="J36" s="18">
        <f>IFERROR(((F36/$B$112) / AVERAGE('V25'!F36/'V25'!$B$112, 'V26'!F36/'V26'!$B$112, 'V27'!F36/'V27'!$B$112, 'V28'!F36/'V28'!$B$112, 'V29'!F36/'V29'!$B$112)) * 100,"")</f>
        <v>78.066528330549161</v>
      </c>
      <c r="K36" s="18">
        <f>IFERROR(((G36/$B$112) / AVERAGE('V25'!G36/'V25'!$B$112, 'V26'!G36/'V26'!$B$112, 'V27'!G36/'V27'!$B$112, 'V28'!G36/'V28'!$B$112, 'V29'!G36/'V29'!$B$112)) * 100,"")</f>
        <v>77.91090420694313</v>
      </c>
    </row>
    <row r="37" spans="1:11">
      <c r="C37" s="2" t="s">
        <v>42</v>
      </c>
    </row>
    <row r="38" spans="1:11">
      <c r="C38" s="2" t="s">
        <v>43</v>
      </c>
    </row>
    <row r="39" spans="1:11">
      <c r="C39" s="2" t="s">
        <v>44</v>
      </c>
    </row>
    <row r="40" spans="1:11">
      <c r="C40" s="9" t="s">
        <v>19</v>
      </c>
      <c r="D40" s="10"/>
      <c r="E40" s="11">
        <f>SUM(E36:E39)</f>
        <v>494</v>
      </c>
      <c r="F40" s="11">
        <f>SUM(F36:F39)</f>
        <v>11670.56</v>
      </c>
      <c r="G40" s="11">
        <f>SUM(G36:G39)</f>
        <v>2603</v>
      </c>
      <c r="H40" s="12">
        <f>IFERROR(G40/F40,"")</f>
        <v>0.22303985412867935</v>
      </c>
    </row>
    <row r="41" spans="1:11">
      <c r="B41" s="5" t="s">
        <v>20</v>
      </c>
      <c r="E41" s="16">
        <f>IFERROR((E40-('V29'!E40))/('V29'!E40),"")</f>
        <v>-0.32049518569463548</v>
      </c>
      <c r="F41" s="16">
        <f>IFERROR((F40-('V29'!F40))/('V29'!F40),"")</f>
        <v>-0.32053413817355308</v>
      </c>
      <c r="G41" s="16">
        <f>IFERROR((G40-('V29'!G40))/('V29'!G40),"")</f>
        <v>-0.31814014407334645</v>
      </c>
      <c r="H41" s="16">
        <f>IFERROR(H40-('V29'!H40),"")</f>
        <v>7.8308774193688868E-4</v>
      </c>
    </row>
    <row r="42" spans="1:11">
      <c r="B42" s="5" t="s">
        <v>21</v>
      </c>
      <c r="E42" s="13">
        <f>E40/$B$112</f>
        <v>2.1976066551003159E-2</v>
      </c>
      <c r="F42" s="13">
        <f>F40/$B$112</f>
        <v>0.5191761199341608</v>
      </c>
      <c r="G42" s="13">
        <f>G40/$B$112</f>
        <v>0.11579696605720895</v>
      </c>
    </row>
    <row r="43" spans="1:11">
      <c r="B43" s="5" t="s">
        <v>22</v>
      </c>
      <c r="E43" s="8">
        <f>IFERROR((E42-'V29'!E42)/'V29'!E42,"")</f>
        <v>-0.34204805426528917</v>
      </c>
      <c r="F43" s="8">
        <f>IFERROR((F42-'V29'!F42)/'V29'!F42,"")</f>
        <v>-0.342085771230284</v>
      </c>
      <c r="G43" s="8">
        <f>IFERROR((G42-'V29'!G42)/'V29'!G42,"")</f>
        <v>-0.33976771101474529</v>
      </c>
    </row>
    <row r="44" spans="1:11">
      <c r="B44" s="5" t="s">
        <v>23</v>
      </c>
      <c r="E44" s="18">
        <f>(E42 / AVERAGE('V25'!E42,'V26'!E42,'V27'!E42,'V28'!E42,'V29'!E42)) * 100</f>
        <v>78.05931189456183</v>
      </c>
      <c r="F44" s="18">
        <f>(F42 / AVERAGE('V25'!F42,'V26'!F42,'V27'!F42,'V28'!F42,'V29'!F42)) * 100</f>
        <v>78.066528330549161</v>
      </c>
      <c r="G44" s="18">
        <f>(G42 / AVERAGE('V25'!G42,'V26'!G42,'V27'!G42,'V28'!G42,'V29'!G42)) * 100</f>
        <v>77.91090420694313</v>
      </c>
      <c r="H44" s="14">
        <f>IFERROR((G44*0.6)+(F44*0.4),"")</f>
        <v>77.973153856385537</v>
      </c>
    </row>
    <row r="45" spans="1:11">
      <c r="A45" s="1">
        <v>5</v>
      </c>
      <c r="C45" s="2" t="s">
        <v>45</v>
      </c>
      <c r="D45" s="2" t="s">
        <v>5</v>
      </c>
      <c r="E45" s="2" t="s">
        <v>6</v>
      </c>
      <c r="F45" s="2" t="s">
        <v>7</v>
      </c>
      <c r="G45" s="2" t="s">
        <v>8</v>
      </c>
      <c r="H45" s="2" t="s">
        <v>9</v>
      </c>
      <c r="I45" s="2" t="s">
        <v>10</v>
      </c>
      <c r="J45" s="2" t="s">
        <v>11</v>
      </c>
      <c r="K45" s="2" t="s">
        <v>12</v>
      </c>
    </row>
    <row r="46" spans="1:11">
      <c r="B46" s="6" t="s">
        <v>46</v>
      </c>
      <c r="C46" s="2" t="s">
        <v>47</v>
      </c>
      <c r="D46" s="5" t="s">
        <v>48</v>
      </c>
      <c r="E46" s="7">
        <v>234</v>
      </c>
      <c r="F46" s="7">
        <v>18216</v>
      </c>
      <c r="G46" s="7">
        <v>1136</v>
      </c>
      <c r="H46" s="8">
        <f>IFERROR(G46/F46,"")</f>
        <v>6.2362758014931928E-2</v>
      </c>
      <c r="I46" s="18">
        <f>IFERROR(((E46/$B$112) / AVERAGE('V25'!E46/'V25'!$B$112, 'V26'!E46/'V26'!$B$112, 'V27'!E46/'V27'!$B$112, 'V28'!E46/'V28'!$B$112, 'V29'!E46/'V29'!$B$112)) * 100,"")</f>
        <v>88.884926705422657</v>
      </c>
      <c r="J46" s="18">
        <f>IFERROR(((F46/$B$112) / AVERAGE('V25'!F46/'V25'!$B$112, 'V26'!F46/'V26'!$B$112, 'V27'!F46/'V27'!$B$112, 'V28'!F46/'V28'!$B$112, 'V29'!F46/'V29'!$B$112)) * 100,"")</f>
        <v>92.52529106219356</v>
      </c>
      <c r="K46" s="18">
        <f>IFERROR(((G46/$B$112) / AVERAGE('V25'!G46/'V25'!$B$112, 'V26'!G46/'V26'!$B$112, 'V27'!G46/'V27'!$B$112, 'V28'!G46/'V28'!$B$112, 'V29'!G46/'V29'!$B$112)) * 100,"")</f>
        <v>121.84723446582437</v>
      </c>
    </row>
    <row r="47" spans="1:11">
      <c r="C47" s="2" t="s">
        <v>49</v>
      </c>
    </row>
    <row r="48" spans="1:11">
      <c r="C48" s="2" t="s">
        <v>50</v>
      </c>
    </row>
    <row r="49" spans="1:11">
      <c r="C49" s="2" t="s">
        <v>51</v>
      </c>
    </row>
    <row r="50" spans="1:11">
      <c r="C50" s="9" t="s">
        <v>19</v>
      </c>
      <c r="D50" s="10"/>
      <c r="E50" s="11">
        <f>SUM(E46:E49)</f>
        <v>234</v>
      </c>
      <c r="F50" s="11">
        <f>SUM(F46:F49)</f>
        <v>18216</v>
      </c>
      <c r="G50" s="11">
        <f>SUM(G46:G49)</f>
        <v>1136</v>
      </c>
      <c r="H50" s="12">
        <f>IFERROR(G50/F50,"")</f>
        <v>6.2362758014931928E-2</v>
      </c>
    </row>
    <row r="51" spans="1:11">
      <c r="B51" s="5" t="s">
        <v>20</v>
      </c>
      <c r="E51" s="16">
        <f>IFERROR((E50-('V29'!E50))/('V29'!E50),"")</f>
        <v>-0.145985401459854</v>
      </c>
      <c r="F51" s="16">
        <f>IFERROR((F50-('V29'!F50))/('V29'!F50),"")</f>
        <v>-0.16058394160583939</v>
      </c>
      <c r="G51" s="16">
        <f>IFERROR((G50-('V29'!G50))/('V29'!G50),"")</f>
        <v>-0.54934941288479855</v>
      </c>
      <c r="H51" s="16">
        <f>IFERROR(H50-('V29'!H50),"")</f>
        <v>-5.3798858146684246E-2</v>
      </c>
    </row>
    <row r="52" spans="1:11">
      <c r="B52" s="5" t="s">
        <v>21</v>
      </c>
      <c r="E52" s="13">
        <f>E50/$B$112</f>
        <v>1.0409715734685706E-2</v>
      </c>
      <c r="F52" s="13">
        <f>F50/$B$112</f>
        <v>0.81035633257707196</v>
      </c>
      <c r="G52" s="13">
        <f>G50/$B$112</f>
        <v>5.0536055874371634E-2</v>
      </c>
    </row>
    <row r="53" spans="1:11">
      <c r="B53" s="5" t="s">
        <v>22</v>
      </c>
      <c r="E53" s="8">
        <f>IFERROR((E52-'V29'!E52)/'V29'!E52,"")</f>
        <v>-0.17307345736799604</v>
      </c>
      <c r="F53" s="8">
        <f>IFERROR((F52-'V29'!F52)/'V29'!F52,"")</f>
        <v>-0.18720895382324387</v>
      </c>
      <c r="G53" s="8">
        <f>IFERROR((G52-'V29'!G52)/'V29'!G52,"")</f>
        <v>-0.5636433702945205</v>
      </c>
    </row>
    <row r="54" spans="1:11">
      <c r="B54" s="5" t="s">
        <v>23</v>
      </c>
      <c r="E54" s="18">
        <f>(E52 / AVERAGE('V25'!E52,'V26'!E52,'V27'!E52,'V28'!E52,'V29'!E52)) * 100</f>
        <v>88.884926705422657</v>
      </c>
      <c r="F54" s="18">
        <f>(F52 / AVERAGE('V25'!F52,'V26'!F52,'V27'!F52,'V28'!F52,'V29'!F52)) * 100</f>
        <v>92.52529106219356</v>
      </c>
      <c r="G54" s="18">
        <f>(G52 / AVERAGE('V25'!G52,'V26'!G52,'V27'!G52,'V28'!G52,'V29'!G52)) * 100</f>
        <v>121.84723446582437</v>
      </c>
      <c r="H54" s="14">
        <f>IFERROR((G54*0.6)+(F54*0.4),"")</f>
        <v>110.11845710437204</v>
      </c>
    </row>
    <row r="55" spans="1:11">
      <c r="A55" s="1">
        <v>6</v>
      </c>
      <c r="C55" s="2" t="s">
        <v>52</v>
      </c>
      <c r="D55" s="2" t="s">
        <v>5</v>
      </c>
      <c r="E55" s="2" t="s">
        <v>6</v>
      </c>
      <c r="F55" s="2" t="s">
        <v>7</v>
      </c>
      <c r="G55" s="2" t="s">
        <v>8</v>
      </c>
      <c r="H55" s="2" t="s">
        <v>9</v>
      </c>
      <c r="I55" s="2" t="s">
        <v>10</v>
      </c>
      <c r="J55" s="2" t="s">
        <v>11</v>
      </c>
      <c r="K55" s="2" t="s">
        <v>12</v>
      </c>
    </row>
    <row r="56" spans="1:11">
      <c r="B56" s="6" t="s">
        <v>53</v>
      </c>
      <c r="C56" s="2" t="s">
        <v>54</v>
      </c>
      <c r="D56" s="5" t="s">
        <v>55</v>
      </c>
      <c r="E56" s="7">
        <v>245</v>
      </c>
      <c r="F56" s="7">
        <v>9984.16</v>
      </c>
      <c r="G56" s="7">
        <v>2144.16</v>
      </c>
      <c r="H56" s="8">
        <f>IFERROR(G56/F56,"")</f>
        <v>0.21475617377926634</v>
      </c>
      <c r="I56" s="18">
        <f>IFERROR(((E56/$B$112) / AVERAGE('V25'!E56/'V25'!$B$112, 'V26'!E56/'V26'!$B$112, 'V27'!E56/'V27'!$B$112, 'V28'!E56/'V28'!$B$112, 'V29'!E56/'V29'!$B$112)) * 100,"")</f>
        <v>119.34045866134828</v>
      </c>
      <c r="J56" s="18">
        <f>IFERROR(((F56/$B$112) / AVERAGE('V25'!F56/'V25'!$B$112, 'V26'!F56/'V26'!$B$112, 'V27'!F56/'V27'!$B$112, 'V28'!F56/'V28'!$B$112, 'V29'!F56/'V29'!$B$112)) * 100,"")</f>
        <v>119.322888650566</v>
      </c>
      <c r="K56" s="18">
        <f>IFERROR(((G56/$B$112) / AVERAGE('V25'!G56/'V25'!$B$112, 'V26'!G56/'V26'!$B$112, 'V27'!G56/'V27'!$B$112, 'V28'!G56/'V28'!$B$112, 'V29'!G56/'V29'!$B$112)) * 100,"")</f>
        <v>119.25868891654643</v>
      </c>
    </row>
    <row r="57" spans="1:11">
      <c r="C57" s="2" t="s">
        <v>56</v>
      </c>
    </row>
    <row r="58" spans="1:11">
      <c r="C58" s="2" t="s">
        <v>57</v>
      </c>
    </row>
    <row r="59" spans="1:11">
      <c r="C59" s="2" t="s">
        <v>58</v>
      </c>
    </row>
    <row r="60" spans="1:11">
      <c r="C60" s="9" t="s">
        <v>19</v>
      </c>
      <c r="D60" s="10"/>
      <c r="E60" s="11">
        <f>SUM(E56:E59)</f>
        <v>245</v>
      </c>
      <c r="F60" s="11">
        <f>SUM(F56:F59)</f>
        <v>9984.16</v>
      </c>
      <c r="G60" s="11">
        <f>SUM(G56:G59)</f>
        <v>2144.16</v>
      </c>
      <c r="H60" s="12">
        <f>IFERROR(G60/F60,"")</f>
        <v>0.21475617377926634</v>
      </c>
    </row>
    <row r="61" spans="1:11">
      <c r="B61" s="5" t="s">
        <v>20</v>
      </c>
      <c r="E61" s="16">
        <f>IFERROR((E60-('V29'!E60))/('V29'!E60),"")</f>
        <v>0.25</v>
      </c>
      <c r="F61" s="16">
        <f>IFERROR((F60-('V29'!F60))/('V29'!F60),"")</f>
        <v>0.2497446476137069</v>
      </c>
      <c r="G61" s="16">
        <f>IFERROR((G60-('V29'!G60))/('V29'!G60),"")</f>
        <v>0.24881185350852658</v>
      </c>
      <c r="H61" s="16">
        <f>IFERROR(H60-('V29'!H60),"")</f>
        <v>-1.6041110787792801E-4</v>
      </c>
    </row>
    <row r="62" spans="1:11">
      <c r="B62" s="5" t="s">
        <v>21</v>
      </c>
      <c r="E62" s="13">
        <f>E60/$B$112</f>
        <v>1.0899061346145291E-2</v>
      </c>
      <c r="F62" s="13">
        <f>F60/$B$112</f>
        <v>0.44415498910093865</v>
      </c>
      <c r="G62" s="13">
        <f>G60/$B$112</f>
        <v>9.5385026024289332E-2</v>
      </c>
    </row>
    <row r="63" spans="1:11">
      <c r="B63" s="5" t="s">
        <v>22</v>
      </c>
      <c r="E63" s="8">
        <f>IFERROR((E62-'V29'!E62)/'V29'!E62,"")</f>
        <v>0.21035188398060409</v>
      </c>
      <c r="F63" s="8">
        <f>IFERROR((F62-'V29'!F62)/'V29'!F62,"")</f>
        <v>0.21010463098714099</v>
      </c>
      <c r="G63" s="8">
        <f>IFERROR((G62-'V29'!G62)/'V29'!G62,"")</f>
        <v>0.2092014237050844</v>
      </c>
    </row>
    <row r="64" spans="1:11">
      <c r="B64" s="5" t="s">
        <v>23</v>
      </c>
      <c r="E64" s="18">
        <f>(E62 / AVERAGE('V25'!E62,'V26'!E62,'V27'!E62,'V28'!E62,'V29'!E62)) * 100</f>
        <v>119.34045866134828</v>
      </c>
      <c r="F64" s="18">
        <f>(F62 / AVERAGE('V25'!F62,'V26'!F62,'V27'!F62,'V28'!F62,'V29'!F62)) * 100</f>
        <v>119.322888650566</v>
      </c>
      <c r="G64" s="18">
        <f>(G62 / AVERAGE('V25'!G62,'V26'!G62,'V27'!G62,'V28'!G62,'V29'!G62)) * 100</f>
        <v>119.25868891654643</v>
      </c>
      <c r="H64" s="14">
        <f>IFERROR((G64*0.6)+(F64*0.4),"")</f>
        <v>119.28436881015426</v>
      </c>
    </row>
    <row r="65" spans="1:11">
      <c r="A65" s="1">
        <v>7</v>
      </c>
      <c r="C65" s="2" t="s">
        <v>59</v>
      </c>
      <c r="D65" s="2" t="s">
        <v>5</v>
      </c>
      <c r="E65" s="2" t="s">
        <v>6</v>
      </c>
      <c r="F65" s="2" t="s">
        <v>7</v>
      </c>
      <c r="G65" s="2" t="s">
        <v>8</v>
      </c>
      <c r="H65" s="2" t="s">
        <v>9</v>
      </c>
      <c r="I65" s="2" t="s">
        <v>10</v>
      </c>
      <c r="J65" s="2" t="s">
        <v>11</v>
      </c>
      <c r="K65" s="2" t="s">
        <v>12</v>
      </c>
    </row>
    <row r="66" spans="1:11">
      <c r="B66" s="6" t="s">
        <v>60</v>
      </c>
      <c r="C66" s="2" t="s">
        <v>61</v>
      </c>
      <c r="D66" s="5" t="s">
        <v>62</v>
      </c>
      <c r="E66" s="7">
        <v>135</v>
      </c>
      <c r="F66" s="7">
        <v>2802.6</v>
      </c>
      <c r="G66" s="7">
        <v>649.35</v>
      </c>
      <c r="H66" s="8">
        <f>IFERROR(G66/F66,"")</f>
        <v>0.23169556840077074</v>
      </c>
      <c r="I66" s="18">
        <f>IFERROR(((E66/$B$112) / AVERAGE('V25'!E66/'V25'!$B$112, 'V26'!E66/'V26'!$B$112, 'V27'!E66/'V27'!$B$112, 'V28'!E66/'V28'!$B$112, 'V29'!E66/'V29'!$B$112)) * 100,"")</f>
        <v>99.413843107006414</v>
      </c>
      <c r="J66" s="18">
        <f>IFERROR(((F66/$B$112) / AVERAGE('V25'!F66/'V25'!$B$112, 'V26'!F66/'V26'!$B$112, 'V27'!F66/'V27'!$B$112, 'V28'!F66/'V28'!$B$112, 'V29'!F66/'V29'!$B$112)) * 100,"")</f>
        <v>99.498311425976695</v>
      </c>
      <c r="K66" s="18">
        <f>IFERROR(((G66/$B$112) / AVERAGE('V25'!G66/'V25'!$B$112, 'V26'!G66/'V26'!$B$112, 'V27'!G66/'V27'!$B$112, 'V28'!G66/'V28'!$B$112, 'V29'!G66/'V29'!$B$112)) * 100,"")</f>
        <v>99.779439137794597</v>
      </c>
    </row>
    <row r="67" spans="1:11">
      <c r="C67" s="2" t="s">
        <v>63</v>
      </c>
    </row>
    <row r="68" spans="1:11">
      <c r="C68" s="2" t="s">
        <v>64</v>
      </c>
    </row>
    <row r="69" spans="1:11">
      <c r="C69" s="2" t="s">
        <v>65</v>
      </c>
    </row>
    <row r="70" spans="1:11">
      <c r="C70" s="9" t="s">
        <v>19</v>
      </c>
      <c r="D70" s="10"/>
      <c r="E70" s="11">
        <f>SUM(E66:E69)</f>
        <v>135</v>
      </c>
      <c r="F70" s="11">
        <f>SUM(F66:F69)</f>
        <v>2802.6</v>
      </c>
      <c r="G70" s="11">
        <f>SUM(G66:G69)</f>
        <v>649.35</v>
      </c>
      <c r="H70" s="12">
        <f>IFERROR(G70/F70,"")</f>
        <v>0.23169556840077074</v>
      </c>
    </row>
    <row r="71" spans="1:11">
      <c r="B71" s="5" t="s">
        <v>20</v>
      </c>
      <c r="E71" s="16">
        <f>IFERROR((E70-('V29'!E70))/('V29'!E70),"")</f>
        <v>-0.14012738853503184</v>
      </c>
      <c r="F71" s="16">
        <f>IFERROR((F70-('V29'!F70))/('V29'!F70),"")</f>
        <v>-0.13985292853898385</v>
      </c>
      <c r="G71" s="16">
        <f>IFERROR((G70-('V29'!G70))/('V29'!G70),"")</f>
        <v>-0.13894156179968967</v>
      </c>
      <c r="H71" s="16">
        <f>IFERROR(H70-('V29'!H70),"")</f>
        <v>2.4523264079923113E-4</v>
      </c>
    </row>
    <row r="72" spans="1:11">
      <c r="B72" s="5" t="s">
        <v>21</v>
      </c>
      <c r="E72" s="13">
        <f>E70/$B$112</f>
        <v>6.0056052315494461E-3</v>
      </c>
      <c r="F72" s="13">
        <f>F70/$B$112</f>
        <v>0.1246763646069665</v>
      </c>
      <c r="G72" s="13">
        <f>G70/$B$112</f>
        <v>2.8886961163752837E-2</v>
      </c>
    </row>
    <row r="73" spans="1:11">
      <c r="B73" s="5" t="s">
        <v>22</v>
      </c>
      <c r="E73" s="8">
        <f>IFERROR((E72-'V29'!E72)/'V29'!E72,"")</f>
        <v>-0.16740125178404308</v>
      </c>
      <c r="F73" s="8">
        <f>IFERROR((F72-'V29'!F72)/'V29'!F72,"")</f>
        <v>-0.16713549724540777</v>
      </c>
      <c r="G73" s="8">
        <f>IFERROR((G72-'V29'!G72)/'V29'!G72,"")</f>
        <v>-0.16625303768548624</v>
      </c>
    </row>
    <row r="74" spans="1:11">
      <c r="B74" s="5" t="s">
        <v>23</v>
      </c>
      <c r="E74" s="18">
        <f>(E72 / AVERAGE('V25'!E72,'V26'!E72,'V27'!E72,'V28'!E72,'V29'!E72)) * 100</f>
        <v>99.413843107006414</v>
      </c>
      <c r="F74" s="18">
        <f>(F72 / AVERAGE('V25'!F72,'V26'!F72,'V27'!F72,'V28'!F72,'V29'!F72)) * 100</f>
        <v>99.498311425976695</v>
      </c>
      <c r="G74" s="18">
        <f>(G72 / AVERAGE('V25'!G72,'V26'!G72,'V27'!G72,'V28'!G72,'V29'!G72)) * 100</f>
        <v>99.779439137794597</v>
      </c>
      <c r="H74" s="14">
        <f>IFERROR((G74*0.6)+(F74*0.4),"")</f>
        <v>99.666988053067428</v>
      </c>
    </row>
    <row r="75" spans="1:11">
      <c r="A75" s="1">
        <v>8</v>
      </c>
      <c r="C75" s="2" t="s">
        <v>66</v>
      </c>
      <c r="D75" s="2" t="s">
        <v>5</v>
      </c>
      <c r="E75" s="2" t="s">
        <v>6</v>
      </c>
      <c r="F75" s="2" t="s">
        <v>7</v>
      </c>
      <c r="G75" s="2" t="s">
        <v>8</v>
      </c>
      <c r="H75" s="2" t="s">
        <v>9</v>
      </c>
      <c r="I75" s="2" t="s">
        <v>10</v>
      </c>
      <c r="J75" s="2" t="s">
        <v>11</v>
      </c>
      <c r="K75" s="2" t="s">
        <v>12</v>
      </c>
    </row>
    <row r="76" spans="1:11">
      <c r="B76" s="6" t="s">
        <v>67</v>
      </c>
      <c r="C76" s="2" t="s">
        <v>68</v>
      </c>
      <c r="D76" s="5" t="s">
        <v>69</v>
      </c>
      <c r="E76" s="7">
        <v>58</v>
      </c>
      <c r="F76" s="7">
        <v>1852.08</v>
      </c>
      <c r="G76" s="7">
        <v>402.08</v>
      </c>
      <c r="H76" s="8">
        <f>IFERROR(G76/F76,"")</f>
        <v>0.21709645371690209</v>
      </c>
      <c r="I76" s="18">
        <f>IFERROR(((E76/$B$112) / AVERAGE('V25'!E76/'V25'!$B$112, 'V26'!E76/'V26'!$B$112, 'V27'!E76/'V27'!$B$112, 'V28'!E76/'V28'!$B$112, 'V29'!E76/'V29'!$B$112)) * 100,"")</f>
        <v>98.755607552681539</v>
      </c>
      <c r="J76" s="18">
        <f>IFERROR(((F76/$B$112) / AVERAGE('V25'!F76/'V25'!$B$112, 'V26'!F76/'V26'!$B$112, 'V27'!F76/'V27'!$B$112, 'V28'!F76/'V28'!$B$112, 'V29'!F76/'V29'!$B$112)) * 100,"")</f>
        <v>98.793657313646193</v>
      </c>
      <c r="K76" s="18">
        <f>IFERROR(((G76/$B$112) / AVERAGE('V25'!G76/'V25'!$B$112, 'V26'!G76/'V26'!$B$112, 'V27'!G76/'V27'!$B$112, 'V28'!G76/'V28'!$B$112, 'V29'!G76/'V29'!$B$112)) * 100,"")</f>
        <v>98.931118034089621</v>
      </c>
    </row>
    <row r="77" spans="1:11">
      <c r="C77" s="2" t="s">
        <v>70</v>
      </c>
    </row>
    <row r="78" spans="1:11">
      <c r="C78" s="2" t="s">
        <v>71</v>
      </c>
    </row>
    <row r="79" spans="1:11">
      <c r="C79" s="2" t="s">
        <v>72</v>
      </c>
    </row>
    <row r="80" spans="1:11">
      <c r="C80" s="9" t="s">
        <v>19</v>
      </c>
      <c r="D80" s="10"/>
      <c r="E80" s="11">
        <f>SUM(E76:E79)</f>
        <v>58</v>
      </c>
      <c r="F80" s="11">
        <f>SUM(F76:F79)</f>
        <v>1852.08</v>
      </c>
      <c r="G80" s="11">
        <f>SUM(G76:G79)</f>
        <v>402.08</v>
      </c>
      <c r="H80" s="12">
        <f>IFERROR(G80/F80,"")</f>
        <v>0.21709645371690209</v>
      </c>
    </row>
    <row r="81" spans="1:11">
      <c r="B81" s="5" t="s">
        <v>20</v>
      </c>
      <c r="E81" s="16">
        <f>IFERROR((E80-('V29'!E80))/('V29'!E80),"")</f>
        <v>1.7543859649122806E-2</v>
      </c>
      <c r="F81" s="16">
        <f>IFERROR((F80-('V29'!F80))/('V29'!F80),"")</f>
        <v>1.6665568803109095E-2</v>
      </c>
      <c r="G81" s="16">
        <f>IFERROR((G80-('V29'!G80))/('V29'!G80),"")</f>
        <v>1.3510788465416305E-2</v>
      </c>
      <c r="H81" s="16">
        <f>IFERROR(H80-('V29'!H80),"")</f>
        <v>-6.7576155218429523E-4</v>
      </c>
    </row>
    <row r="82" spans="1:11">
      <c r="B82" s="5" t="s">
        <v>21</v>
      </c>
      <c r="E82" s="13">
        <f>E80/$B$112</f>
        <v>2.5801859513323545E-3</v>
      </c>
      <c r="F82" s="13">
        <f>F80/$B$112</f>
        <v>8.2391565461097022E-2</v>
      </c>
      <c r="G82" s="13">
        <f>G80/$B$112</f>
        <v>1.7886916677788158E-2</v>
      </c>
    </row>
    <row r="83" spans="1:11">
      <c r="B83" s="5" t="s">
        <v>22</v>
      </c>
      <c r="E83" s="8">
        <f>IFERROR((E82-'V29'!E82)/'V29'!E82,"")</f>
        <v>-1.4731097952631132E-2</v>
      </c>
      <c r="F83" s="8">
        <f>IFERROR((F82-'V29'!F82)/'V29'!F82,"")</f>
        <v>-1.5581530736755535E-2</v>
      </c>
      <c r="G83" s="8">
        <f>IFERROR((G82-'V29'!G82)/'V29'!G82,"")</f>
        <v>-1.8636246196972617E-2</v>
      </c>
    </row>
    <row r="84" spans="1:11">
      <c r="B84" s="5" t="s">
        <v>23</v>
      </c>
      <c r="E84" s="18">
        <f>(E82 / AVERAGE('V25'!E82,'V26'!E82,'V27'!E82,'V28'!E82,'V29'!E82)) * 100</f>
        <v>98.755607552681539</v>
      </c>
      <c r="F84" s="18">
        <f>(F82 / AVERAGE('V25'!F82,'V26'!F82,'V27'!F82,'V28'!F82,'V29'!F82)) * 100</f>
        <v>98.793657313646193</v>
      </c>
      <c r="G84" s="18">
        <f>(G82 / AVERAGE('V25'!G82,'V26'!G82,'V27'!G82,'V28'!G82,'V29'!G82)) * 100</f>
        <v>98.931118034089621</v>
      </c>
      <c r="H84" s="14">
        <f>IFERROR((G84*0.6)+(F84*0.4),"")</f>
        <v>98.876133745912256</v>
      </c>
    </row>
    <row r="85" spans="1:11">
      <c r="A85" s="1">
        <v>9</v>
      </c>
      <c r="C85" s="2" t="s">
        <v>73</v>
      </c>
      <c r="D85" s="2" t="s">
        <v>5</v>
      </c>
      <c r="E85" s="2" t="s">
        <v>6</v>
      </c>
      <c r="F85" s="2" t="s">
        <v>7</v>
      </c>
      <c r="G85" s="2" t="s">
        <v>8</v>
      </c>
      <c r="H85" s="2" t="s">
        <v>9</v>
      </c>
      <c r="I85" s="2" t="s">
        <v>10</v>
      </c>
      <c r="J85" s="2" t="s">
        <v>11</v>
      </c>
      <c r="K85" s="2" t="s">
        <v>12</v>
      </c>
    </row>
    <row r="86" spans="1:11">
      <c r="B86" s="6" t="s">
        <v>74</v>
      </c>
      <c r="C86" s="2" t="s">
        <v>75</v>
      </c>
      <c r="D86" s="5" t="s">
        <v>76</v>
      </c>
      <c r="E86" s="7">
        <v>235</v>
      </c>
      <c r="F86" s="7">
        <v>8460</v>
      </c>
      <c r="G86" s="7">
        <v>1414.7</v>
      </c>
      <c r="H86" s="8">
        <f>IFERROR(G86/F86,"")</f>
        <v>0.16722222222222222</v>
      </c>
      <c r="I86" s="18">
        <f>IFERROR(((E86/$B$112) / AVERAGE('V25'!E86/'V25'!$B$112, 'V26'!E86/'V26'!$B$112, 'V27'!E86/'V27'!$B$112, 'V28'!E86/'V28'!$B$112, 'V29'!E86/'V29'!$B$112)) * 100,"")</f>
        <v>93.57681189971936</v>
      </c>
      <c r="J86" s="18">
        <f>IFERROR(((F86/$B$112) / AVERAGE('V25'!F86/'V25'!$B$112, 'V26'!F86/'V26'!$B$112, 'V27'!F86/'V27'!$B$112, 'V28'!F86/'V28'!$B$112, 'V29'!F86/'V29'!$B$112)) * 100,"")</f>
        <v>93.588780503169161</v>
      </c>
      <c r="K86" s="18">
        <f>IFERROR(((G86/$B$112) / AVERAGE('V25'!G86/'V25'!$B$112, 'V26'!G86/'V26'!$B$112, 'V27'!G86/'V27'!$B$112, 'V28'!G86/'V28'!$B$112, 'V29'!G86/'V29'!$B$112)) * 100,"")</f>
        <v>92.109163907490156</v>
      </c>
    </row>
    <row r="87" spans="1:11">
      <c r="C87" s="2" t="s">
        <v>77</v>
      </c>
    </row>
    <row r="88" spans="1:11">
      <c r="C88" s="2" t="s">
        <v>78</v>
      </c>
    </row>
    <row r="89" spans="1:11">
      <c r="C89" s="2" t="s">
        <v>79</v>
      </c>
    </row>
    <row r="90" spans="1:11">
      <c r="C90" s="9" t="s">
        <v>19</v>
      </c>
      <c r="D90" s="10"/>
      <c r="E90" s="11">
        <f>SUM(E86:E89)</f>
        <v>235</v>
      </c>
      <c r="F90" s="11">
        <f>SUM(F86:F89)</f>
        <v>8460</v>
      </c>
      <c r="G90" s="11">
        <f>SUM(G86:G89)</f>
        <v>1414.7</v>
      </c>
      <c r="H90" s="12">
        <f>IFERROR(G90/F90,"")</f>
        <v>0.16722222222222222</v>
      </c>
    </row>
    <row r="91" spans="1:11">
      <c r="B91" s="5" t="s">
        <v>20</v>
      </c>
      <c r="E91" s="16">
        <f>IFERROR((E90-('V29'!E90))/('V29'!E90),"")</f>
        <v>-8.4388185654008432E-3</v>
      </c>
      <c r="F91" s="16">
        <f>IFERROR((F90-('V29'!F90))/('V29'!F90),"")</f>
        <v>-8.0202617138032499E-3</v>
      </c>
      <c r="G91" s="16">
        <f>IFERROR((G90-('V29'!G90))/('V29'!G90),"")</f>
        <v>-5.93054794328039E-3</v>
      </c>
      <c r="H91" s="16">
        <f>IFERROR(H90-('V29'!H90),"")</f>
        <v>3.5153135406404412E-4</v>
      </c>
    </row>
    <row r="92" spans="1:11">
      <c r="B92" s="5" t="s">
        <v>21</v>
      </c>
      <c r="E92" s="13">
        <f>E90/$B$112</f>
        <v>1.0454201699363851E-2</v>
      </c>
      <c r="F92" s="13">
        <f>F90/$B$112</f>
        <v>0.37635126117709861</v>
      </c>
      <c r="G92" s="13">
        <f>G90/$B$112</f>
        <v>6.2934294230170384E-2</v>
      </c>
    </row>
    <row r="93" spans="1:11">
      <c r="B93" s="5" t="s">
        <v>22</v>
      </c>
      <c r="E93" s="8">
        <f>IFERROR((E92-'V29'!E92)/'V29'!E92,"")</f>
        <v>-3.9889644774879336E-2</v>
      </c>
      <c r="F93" s="8">
        <f>IFERROR((F92-'V29'!F92)/'V29'!F92,"")</f>
        <v>-3.9484363915772112E-2</v>
      </c>
      <c r="G93" s="8">
        <f>IFERROR((G92-'V29'!G92)/'V29'!G92,"")</f>
        <v>-3.7460932716466014E-2</v>
      </c>
    </row>
    <row r="94" spans="1:11">
      <c r="B94" s="5" t="s">
        <v>23</v>
      </c>
      <c r="E94" s="18">
        <f>(E92 / AVERAGE('V25'!E92,'V26'!E92,'V27'!E92,'V28'!E92,'V29'!E92)) * 100</f>
        <v>93.57681189971936</v>
      </c>
      <c r="F94" s="18">
        <f>(F92 / AVERAGE('V25'!F92,'V26'!F92,'V27'!F92,'V28'!F92,'V29'!F92)) * 100</f>
        <v>93.588780503169161</v>
      </c>
      <c r="G94" s="18">
        <f>(G92 / AVERAGE('V25'!G92,'V26'!G92,'V27'!G92,'V28'!G92,'V29'!G92)) * 100</f>
        <v>92.109163907490156</v>
      </c>
      <c r="H94" s="14">
        <f>IFERROR((G94*0.6)+(F94*0.4),"")</f>
        <v>92.701010545761761</v>
      </c>
    </row>
    <row r="95" spans="1:11">
      <c r="A95" s="1">
        <v>10</v>
      </c>
      <c r="C95" s="2" t="s">
        <v>80</v>
      </c>
      <c r="D95" s="2" t="s">
        <v>5</v>
      </c>
      <c r="E95" s="2" t="s">
        <v>6</v>
      </c>
      <c r="F95" s="2" t="s">
        <v>7</v>
      </c>
      <c r="G95" s="2" t="s">
        <v>8</v>
      </c>
      <c r="H95" s="2" t="s">
        <v>9</v>
      </c>
      <c r="I95" s="2" t="s">
        <v>10</v>
      </c>
      <c r="J95" s="2" t="s">
        <v>11</v>
      </c>
      <c r="K95" s="2" t="s">
        <v>12</v>
      </c>
    </row>
    <row r="96" spans="1:11">
      <c r="B96" s="6" t="s">
        <v>81</v>
      </c>
      <c r="C96" s="2" t="s">
        <v>82</v>
      </c>
      <c r="D96" s="5" t="s">
        <v>83</v>
      </c>
      <c r="E96" s="7">
        <v>301</v>
      </c>
      <c r="F96" s="7">
        <v>10832.4</v>
      </c>
      <c r="G96" s="7">
        <v>1808.42</v>
      </c>
      <c r="H96" s="8">
        <f>IFERROR(G96/F96,"")</f>
        <v>0.16694545991654666</v>
      </c>
      <c r="I96" s="18">
        <f>IFERROR(((E96/$B$112) / AVERAGE('V25'!E96/'V25'!$B$112, 'V26'!E96/'V26'!$B$112, 'V27'!E96/'V27'!$B$112, 'V28'!E96/'V28'!$B$112, 'V29'!E96/'V29'!$B$112)) * 100,"")</f>
        <v>97.277558692086757</v>
      </c>
      <c r="J96" s="18">
        <f>IFERROR(((F96/$B$112) / AVERAGE('V25'!F96/'V25'!$B$112, 'V26'!F96/'V26'!$B$112, 'V27'!F96/'V27'!$B$112, 'V28'!F96/'V28'!$B$112, 'V29'!F96/'V29'!$B$112)) * 100,"")</f>
        <v>97.256822188342852</v>
      </c>
      <c r="K96" s="18">
        <f>IFERROR(((G96/$B$112) / AVERAGE('V25'!G96/'V25'!$B$112, 'V26'!G96/'V26'!$B$112, 'V27'!G96/'V27'!$B$112, 'V28'!G96/'V28'!$B$112, 'V29'!G96/'V29'!$B$112)) * 100,"")</f>
        <v>95.61105917889779</v>
      </c>
    </row>
    <row r="97" spans="2:8">
      <c r="C97" s="2" t="s">
        <v>84</v>
      </c>
    </row>
    <row r="98" spans="2:8">
      <c r="C98" s="2" t="s">
        <v>85</v>
      </c>
    </row>
    <row r="99" spans="2:8">
      <c r="C99" s="2" t="s">
        <v>86</v>
      </c>
    </row>
    <row r="100" spans="2:8">
      <c r="C100" s="9" t="s">
        <v>19</v>
      </c>
      <c r="D100" s="10"/>
      <c r="E100" s="11">
        <f>SUM(E96:E99)</f>
        <v>301</v>
      </c>
      <c r="F100" s="11">
        <f>SUM(F96:F99)</f>
        <v>10832.4</v>
      </c>
      <c r="G100" s="11">
        <f>SUM(G96:G99)</f>
        <v>1808.42</v>
      </c>
      <c r="H100" s="12">
        <f>IFERROR(G100/F100,"")</f>
        <v>0.16694545991654666</v>
      </c>
    </row>
    <row r="101" spans="2:8">
      <c r="B101" s="5" t="s">
        <v>20</v>
      </c>
      <c r="E101" s="16">
        <f>IFERROR((E100-('V29'!E100))/('V29'!E100),"")</f>
        <v>-3.5256410256410256E-2</v>
      </c>
      <c r="F101" s="16">
        <f>IFERROR((F100-('V29'!F100))/('V29'!F100),"")</f>
        <v>-3.557692307692311E-2</v>
      </c>
      <c r="G101" s="16">
        <f>IFERROR((G100-('V29'!G100))/('V29'!G100),"")</f>
        <v>-2.1555408871046237E-2</v>
      </c>
      <c r="H101" s="16">
        <f>IFERROR(H100-('V29'!H100),"")</f>
        <v>2.3923972384839731E-3</v>
      </c>
    </row>
    <row r="102" spans="2:8">
      <c r="B102" s="5" t="s">
        <v>21</v>
      </c>
      <c r="E102" s="13">
        <f>E100/$B$112</f>
        <v>1.3390275368121358E-2</v>
      </c>
      <c r="F102" s="13">
        <f>F100/$B$112</f>
        <v>0.48188976377952752</v>
      </c>
      <c r="G102" s="13">
        <f>G100/$B$112</f>
        <v>8.0449308243249251E-2</v>
      </c>
    </row>
    <row r="103" spans="2:8">
      <c r="B103" s="5" t="s">
        <v>22</v>
      </c>
      <c r="E103" s="8">
        <f>IFERROR((E102-'V29'!E102)/'V29'!E102,"")</f>
        <v>-6.5856622876508078E-2</v>
      </c>
      <c r="F103" s="8">
        <f>IFERROR((F102-'V29'!F102)/'V29'!F102,"")</f>
        <v>-6.616696951342621E-2</v>
      </c>
      <c r="G103" s="8">
        <f>IFERROR((G102-'V29'!G102)/'V29'!G102,"")</f>
        <v>-5.2590196605151206E-2</v>
      </c>
    </row>
    <row r="104" spans="2:8">
      <c r="B104" s="5" t="s">
        <v>23</v>
      </c>
      <c r="E104" s="18">
        <f>(E102 / AVERAGE('V25'!E102,'V26'!E102,'V27'!E102,'V28'!E102,'V29'!E102)) * 100</f>
        <v>97.277558692086757</v>
      </c>
      <c r="F104" s="18">
        <f>(F102 / AVERAGE('V25'!F102,'V26'!F102,'V27'!F102,'V28'!F102,'V29'!F102)) * 100</f>
        <v>97.256822188342852</v>
      </c>
      <c r="G104" s="18">
        <f>(G102 / AVERAGE('V25'!G102,'V26'!G102,'V27'!G102,'V28'!G102,'V29'!G102)) * 100</f>
        <v>95.61105917889779</v>
      </c>
      <c r="H104" s="14">
        <f>IFERROR((G104*0.6)+(F104*0.4),"")</f>
        <v>96.269364382675818</v>
      </c>
    </row>
    <row r="106" spans="2:8">
      <c r="B106" s="2" t="s">
        <v>87</v>
      </c>
      <c r="E106" s="15">
        <f>E10+E20+E30+E40+E50+E60+E70+E80+E90+E100</f>
        <v>2651</v>
      </c>
      <c r="F106" s="15">
        <f>F10+F20+F30+F40+F50+F60+F70+F80+F90+F100</f>
        <v>95652.56</v>
      </c>
      <c r="G106" s="15">
        <f>G10+G20+G30+G40+G50+G60+G70+G80+G90+G100</f>
        <v>17538.71</v>
      </c>
      <c r="H106" s="16">
        <f>IFERROR(G106/F106,"")</f>
        <v>0.18335850080750582</v>
      </c>
    </row>
    <row r="107" spans="2:8">
      <c r="B107" s="5" t="s">
        <v>88</v>
      </c>
      <c r="E107" s="16">
        <f>IFERROR((E106-'V29'!E106)/'V29'!E106,"")</f>
        <v>-0.13676326929338978</v>
      </c>
      <c r="F107" s="16">
        <f>IFERROR((F106-'V29'!F106)/'V29'!F106,"")</f>
        <v>-6.1731325691561034E-2</v>
      </c>
      <c r="G107" s="16">
        <f>IFERROR((G106-'V29'!G106)/'V29'!G106,"")</f>
        <v>-9.3002522093528703E-2</v>
      </c>
      <c r="H107" s="16">
        <f>IFERROR(H106-'V29'!H106,"")</f>
        <v>-6.3217812953093311E-3</v>
      </c>
    </row>
    <row r="108" spans="2:8">
      <c r="B108" s="5" t="s">
        <v>21</v>
      </c>
      <c r="E108" s="13">
        <f>E106/$B$112</f>
        <v>0.11793229236175987</v>
      </c>
      <c r="F108" s="13">
        <f>F106/$B$112</f>
        <v>4.2551964055340541</v>
      </c>
      <c r="G108" s="13">
        <f>G106/$B$112</f>
        <v>0.78022643356021171</v>
      </c>
    </row>
    <row r="109" spans="2:8">
      <c r="B109" s="5" t="s">
        <v>22</v>
      </c>
      <c r="E109" s="8">
        <f>IFERROR((E108-'V29'!E108)/'V29'!E108,"")</f>
        <v>-0.16414383733439752</v>
      </c>
      <c r="F109" s="8">
        <f>IFERROR((F108-'V29'!F108)/'V29'!F108,"")</f>
        <v>-9.1491793896637613E-2</v>
      </c>
      <c r="G109" s="8">
        <f>IFERROR((G108-'V29'!G108)/'V29'!G108,"")</f>
        <v>-0.1217711150801969</v>
      </c>
    </row>
    <row r="110" spans="2:8">
      <c r="B110" s="5" t="s">
        <v>23</v>
      </c>
      <c r="E110" s="18">
        <f>IFERROR((E108 / AVERAGE('V25'!E108,'V26'!E108,'V27'!E108,'V28'!E108,'V29'!E108)) * 100,"")</f>
        <v>92.202567714380706</v>
      </c>
      <c r="F110" s="18">
        <f>IFERROR((F108 / AVERAGE('V25'!F108,'V26'!F108,'V27'!F108,'V28'!F108,'V29'!F108)) * 100,"")</f>
        <v>97.883006456970975</v>
      </c>
      <c r="G110" s="18">
        <f>IFERROR((G108 / AVERAGE('V25'!G108,'V26'!G108,'V27'!G108,'V28'!G108,'V29'!G108)) * 100,"")</f>
        <v>101.91785829778945</v>
      </c>
      <c r="H110" s="14">
        <f>IFERROR((G110*0.6)+(F110*0.4),"")</f>
        <v>100.30391756146207</v>
      </c>
    </row>
    <row r="111" spans="2:8">
      <c r="B111" s="5" t="s">
        <v>89</v>
      </c>
      <c r="C111" s="5" t="s">
        <v>90</v>
      </c>
      <c r="D111" s="5" t="s">
        <v>91</v>
      </c>
    </row>
    <row r="112" spans="2:8">
      <c r="B112" s="17">
        <v>22479</v>
      </c>
      <c r="C112" s="17">
        <f>B112-'V29'!$B$112</f>
        <v>713</v>
      </c>
      <c r="D112" s="19">
        <f>C112/'V29'!$B$112</f>
        <v>3.2757511715519619E-2</v>
      </c>
    </row>
  </sheetData>
  <conditionalFormatting sqref="E11:G11">
    <cfRule type="cellIs" dxfId="285" priority="1" operator="lessThan">
      <formula>0</formula>
    </cfRule>
    <cfRule type="cellIs" dxfId="284" priority="2" operator="greaterThan">
      <formula>0</formula>
    </cfRule>
  </conditionalFormatting>
  <conditionalFormatting sqref="E21:G21">
    <cfRule type="cellIs" dxfId="283" priority="3" operator="lessThan">
      <formula>0</formula>
    </cfRule>
    <cfRule type="cellIs" dxfId="282" priority="4" operator="greaterThan">
      <formula>0</formula>
    </cfRule>
  </conditionalFormatting>
  <conditionalFormatting sqref="E31:G31">
    <cfRule type="cellIs" dxfId="281" priority="5" operator="lessThan">
      <formula>0</formula>
    </cfRule>
    <cfRule type="cellIs" dxfId="280" priority="6" operator="greaterThan">
      <formula>0</formula>
    </cfRule>
  </conditionalFormatting>
  <conditionalFormatting sqref="E41:G41">
    <cfRule type="cellIs" dxfId="279" priority="7" operator="lessThan">
      <formula>0</formula>
    </cfRule>
    <cfRule type="cellIs" dxfId="278" priority="8" operator="greaterThan">
      <formula>0</formula>
    </cfRule>
  </conditionalFormatting>
  <conditionalFormatting sqref="E51:G51">
    <cfRule type="cellIs" dxfId="277" priority="9" operator="lessThan">
      <formula>0</formula>
    </cfRule>
    <cfRule type="cellIs" dxfId="276" priority="10" operator="greaterThan">
      <formula>0</formula>
    </cfRule>
  </conditionalFormatting>
  <conditionalFormatting sqref="E61:G61">
    <cfRule type="cellIs" dxfId="275" priority="11" operator="lessThan">
      <formula>0</formula>
    </cfRule>
    <cfRule type="cellIs" dxfId="274" priority="12" operator="greaterThan">
      <formula>0</formula>
    </cfRule>
  </conditionalFormatting>
  <conditionalFormatting sqref="E71:G71">
    <cfRule type="cellIs" dxfId="273" priority="13" operator="lessThan">
      <formula>0</formula>
    </cfRule>
    <cfRule type="cellIs" dxfId="272" priority="14" operator="greaterThan">
      <formula>0</formula>
    </cfRule>
  </conditionalFormatting>
  <conditionalFormatting sqref="E81:G81">
    <cfRule type="cellIs" dxfId="271" priority="15" operator="lessThan">
      <formula>0</formula>
    </cfRule>
    <cfRule type="cellIs" dxfId="270" priority="16" operator="greaterThan">
      <formula>0</formula>
    </cfRule>
  </conditionalFormatting>
  <conditionalFormatting sqref="E91:G91">
    <cfRule type="cellIs" dxfId="269" priority="17" operator="lessThan">
      <formula>0</formula>
    </cfRule>
    <cfRule type="cellIs" dxfId="268" priority="18" operator="greaterThan">
      <formula>0</formula>
    </cfRule>
  </conditionalFormatting>
  <conditionalFormatting sqref="E101:G101">
    <cfRule type="cellIs" dxfId="267" priority="19" operator="lessThan">
      <formula>0</formula>
    </cfRule>
    <cfRule type="cellIs" dxfId="266" priority="20" operator="greaterThan">
      <formula>0</formula>
    </cfRule>
  </conditionalFormatting>
  <conditionalFormatting sqref="E107:G107">
    <cfRule type="cellIs" dxfId="265" priority="21" operator="lessThan">
      <formula>0</formula>
    </cfRule>
    <cfRule type="cellIs" dxfId="264" priority="22" operator="greaterThan">
      <formula>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12"/>
  <sheetViews>
    <sheetView zoomScaleNormal="100" zoomScaleSheetLayoutView="100" workbookViewId="0"/>
  </sheetViews>
  <sheetFormatPr defaultRowHeight="15"/>
  <cols>
    <col min="2" max="2" width="16" customWidth="1"/>
    <col min="4" max="4" width="26" customWidth="1"/>
    <col min="5" max="5" width="10" customWidth="1"/>
    <col min="6" max="7" width="12" customWidth="1"/>
    <col min="8" max="8" width="10" customWidth="1"/>
    <col min="9" max="11" width="12" customWidth="1"/>
  </cols>
  <sheetData>
    <row r="1" spans="1:11">
      <c r="A1" s="1" t="s">
        <v>0</v>
      </c>
    </row>
    <row r="3" spans="1:11">
      <c r="C3" s="2" t="s">
        <v>108</v>
      </c>
    </row>
    <row r="4" spans="1:11">
      <c r="C4" s="3" t="s">
        <v>109</v>
      </c>
      <c r="I4" s="4">
        <v>31</v>
      </c>
      <c r="J4" s="5" t="s">
        <v>3</v>
      </c>
    </row>
    <row r="5" spans="1:11">
      <c r="A5" s="1">
        <v>1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</row>
    <row r="6" spans="1:11">
      <c r="B6" s="6" t="s">
        <v>104</v>
      </c>
      <c r="C6" s="2" t="s">
        <v>14</v>
      </c>
      <c r="D6" s="5" t="s">
        <v>105</v>
      </c>
      <c r="E6" s="7">
        <v>199</v>
      </c>
      <c r="F6" s="7">
        <v>14320.04</v>
      </c>
      <c r="G6" s="7">
        <v>3574.04</v>
      </c>
      <c r="H6" s="8">
        <f>IFERROR(G6/F6,"")</f>
        <v>0.24958310172317952</v>
      </c>
      <c r="I6" s="18">
        <f>IFERROR(((E6/$B$112) / AVERAGE('V25'!E6/'V25'!$B$112, 'V26'!E6/'V26'!$B$112, 'V27'!E6/'V27'!$B$112, 'V28'!E6/'V28'!$B$112, 'V29'!E6/'V29'!$B$112, 'V30'!E6/'V30'!$B$112)) * 100,"")</f>
        <v>141.92355120543988</v>
      </c>
      <c r="J6" s="18">
        <f>IFERROR(((F6/$B$112) / AVERAGE('V25'!F6/'V25'!$B$112, 'V26'!F6/'V26'!$B$112, 'V27'!F6/'V27'!$B$112, 'V28'!F6/'V28'!$B$112, 'V29'!F6/'V29'!$B$112, 'V30'!F6/'V30'!$B$112)) * 100,"")</f>
        <v>142.38965422938219</v>
      </c>
      <c r="K6" s="18">
        <f>IFERROR(((G6/$B$112) / AVERAGE('V25'!G6/'V25'!$B$112, 'V26'!G6/'V26'!$B$112, 'V27'!G6/'V27'!$B$112, 'V28'!G6/'V28'!$B$112, 'V29'!G6/'V29'!$B$112, 'V30'!G6/'V30'!$B$112)) * 100,"")</f>
        <v>149.85207498127698</v>
      </c>
    </row>
    <row r="7" spans="1:11">
      <c r="C7" s="2" t="s">
        <v>16</v>
      </c>
    </row>
    <row r="8" spans="1:11">
      <c r="C8" s="2" t="s">
        <v>17</v>
      </c>
    </row>
    <row r="9" spans="1:11">
      <c r="C9" s="2" t="s">
        <v>18</v>
      </c>
    </row>
    <row r="10" spans="1:11">
      <c r="C10" s="9" t="s">
        <v>19</v>
      </c>
      <c r="D10" s="10"/>
      <c r="E10" s="11">
        <f>SUM(E6:E9)</f>
        <v>199</v>
      </c>
      <c r="F10" s="11">
        <f>SUM(F6:F9)</f>
        <v>14320.04</v>
      </c>
      <c r="G10" s="11">
        <f>SUM(G6:G9)</f>
        <v>3574.04</v>
      </c>
      <c r="H10" s="12">
        <f>IFERROR(G10/F10,"")</f>
        <v>0.24958310172317952</v>
      </c>
    </row>
    <row r="11" spans="1:11">
      <c r="B11" s="5" t="s">
        <v>20</v>
      </c>
      <c r="E11" s="16">
        <f>IFERROR((E10-('V30'!E10))/('V30'!E10),"")</f>
        <v>-5.2380952380952382E-2</v>
      </c>
      <c r="F11" s="16">
        <f>IFERROR((F10-('V30'!F10))/('V30'!F10),"")</f>
        <v>-5.2155149589621336E-2</v>
      </c>
      <c r="G11" s="16">
        <f>IFERROR((G10-('V30'!G10))/('V30'!G10),"")</f>
        <v>-5.1475583864118907E-2</v>
      </c>
      <c r="H11" s="16">
        <f>IFERROR(H10-('V30'!H10),"")</f>
        <v>1.7881260483162964E-4</v>
      </c>
    </row>
    <row r="12" spans="1:11">
      <c r="B12" s="5" t="s">
        <v>21</v>
      </c>
      <c r="E12" s="13">
        <f>E10/$B$112</f>
        <v>9.3339587242026265E-3</v>
      </c>
      <c r="F12" s="13">
        <f>F10/$B$112</f>
        <v>0.67167166979362103</v>
      </c>
      <c r="G12" s="13">
        <f>G10/$B$112</f>
        <v>0.16763789868667917</v>
      </c>
    </row>
    <row r="13" spans="1:11">
      <c r="B13" s="5" t="s">
        <v>22</v>
      </c>
      <c r="E13" s="8">
        <f>IFERROR((E12-'V30'!E12)/'V30'!E12,"")</f>
        <v>-8.6638970785320602E-4</v>
      </c>
      <c r="F13" s="8">
        <f>IFERROR((F12-'V30'!F12)/'V30'!F12,"")</f>
        <v>-6.2831180230298826E-4</v>
      </c>
      <c r="G13" s="8">
        <f>IFERROR((G12-'V30'!G12)/'V30'!G12,"")</f>
        <v>8.8196544018278512E-5</v>
      </c>
    </row>
    <row r="14" spans="1:11">
      <c r="B14" s="5" t="s">
        <v>23</v>
      </c>
      <c r="E14" s="18">
        <f>(E12 / AVERAGE('V25'!E12,'V26'!E12,'V27'!E12,'V28'!E12,'V29'!E12,'V30'!E12)) * 100</f>
        <v>141.92355120543988</v>
      </c>
      <c r="F14" s="18">
        <f>(F12 / AVERAGE('V25'!F12,'V26'!F12,'V27'!F12,'V28'!F12,'V29'!F12,'V30'!F12)) * 100</f>
        <v>142.38965422938219</v>
      </c>
      <c r="G14" s="18">
        <f>(G12 / AVERAGE('V25'!G12,'V26'!G12,'V27'!G12,'V28'!G12,'V29'!G12,'V30'!G12)) * 100</f>
        <v>149.85207498127698</v>
      </c>
      <c r="H14" s="14">
        <f>IFERROR((G14*0.6)+(F14*0.4),"")</f>
        <v>146.86710668051907</v>
      </c>
    </row>
    <row r="15" spans="1:11">
      <c r="A15" s="1">
        <v>2</v>
      </c>
      <c r="C15" s="2" t="s">
        <v>24</v>
      </c>
      <c r="D15" s="2" t="s">
        <v>5</v>
      </c>
      <c r="E15" s="2" t="s">
        <v>6</v>
      </c>
      <c r="F15" s="2" t="s">
        <v>7</v>
      </c>
      <c r="G15" s="2" t="s">
        <v>8</v>
      </c>
      <c r="H15" s="2" t="s">
        <v>9</v>
      </c>
      <c r="I15" s="2" t="s">
        <v>10</v>
      </c>
      <c r="J15" s="2" t="s">
        <v>11</v>
      </c>
      <c r="K15" s="2" t="s">
        <v>12</v>
      </c>
    </row>
    <row r="16" spans="1:11">
      <c r="B16" s="6" t="s">
        <v>25</v>
      </c>
      <c r="C16" s="2" t="s">
        <v>26</v>
      </c>
      <c r="D16" s="5" t="s">
        <v>27</v>
      </c>
      <c r="E16" s="7">
        <v>158</v>
      </c>
      <c r="F16" s="7">
        <v>3153.68</v>
      </c>
      <c r="G16" s="7">
        <v>601.67999999999995</v>
      </c>
      <c r="H16" s="8">
        <f>IFERROR(G16/F16,"")</f>
        <v>0.19078663656426778</v>
      </c>
      <c r="I16" s="18">
        <f>IFERROR(((E16/$B$112) / AVERAGE('V25'!E16/'V25'!$B$112, 'V26'!E16/'V26'!$B$112, 'V27'!E16/'V27'!$B$112, 'V28'!E16/'V28'!$B$112, 'V29'!E16/'V29'!$B$112, 'V30'!E16/'V30'!$B$112)) * 100,"")</f>
        <v>80.884678957407445</v>
      </c>
      <c r="J16" s="18">
        <f>IFERROR(((F16/$B$112) / AVERAGE('V25'!F16/'V25'!$B$112, 'V26'!F16/'V26'!$B$112, 'V27'!F16/'V27'!$B$112, 'V28'!F16/'V28'!$B$112, 'V29'!F16/'V29'!$B$112, 'V30'!F16/'V30'!$B$112)) * 100,"")</f>
        <v>80.292758206011371</v>
      </c>
      <c r="K16" s="18">
        <f>IFERROR(((G16/$B$112) / AVERAGE('V25'!G16/'V25'!$B$112, 'V26'!G16/'V26'!$B$112, 'V27'!G16/'V27'!$B$112, 'V28'!G16/'V28'!$B$112, 'V29'!G16/'V29'!$B$112, 'V30'!G16/'V30'!$B$112)) * 100,"")</f>
        <v>74.766275431447866</v>
      </c>
    </row>
    <row r="17" spans="1:11">
      <c r="C17" s="2" t="s">
        <v>28</v>
      </c>
    </row>
    <row r="18" spans="1:11">
      <c r="C18" s="2" t="s">
        <v>29</v>
      </c>
    </row>
    <row r="19" spans="1:11">
      <c r="C19" s="2" t="s">
        <v>30</v>
      </c>
    </row>
    <row r="20" spans="1:11">
      <c r="C20" s="9" t="s">
        <v>19</v>
      </c>
      <c r="D20" s="10"/>
      <c r="E20" s="11">
        <f>SUM(E16:E19)</f>
        <v>158</v>
      </c>
      <c r="F20" s="11">
        <f>SUM(F16:F19)</f>
        <v>3153.68</v>
      </c>
      <c r="G20" s="11">
        <f>SUM(G16:G19)</f>
        <v>601.67999999999995</v>
      </c>
      <c r="H20" s="12">
        <f>IFERROR(G20/F20,"")</f>
        <v>0.19078663656426778</v>
      </c>
    </row>
    <row r="21" spans="1:11">
      <c r="B21" s="5" t="s">
        <v>20</v>
      </c>
      <c r="E21" s="16">
        <f>IFERROR((E20-('V30'!E20))/('V30'!E20),"")</f>
        <v>-0.21</v>
      </c>
      <c r="F21" s="16">
        <f>IFERROR((F20-('V30'!F20))/('V30'!F20),"")</f>
        <v>-0.20980205462290158</v>
      </c>
      <c r="G21" s="16">
        <f>IFERROR((G20-('V30'!G20))/('V30'!G20),"")</f>
        <v>-0.24883895131086148</v>
      </c>
      <c r="H21" s="16">
        <f>IFERROR(H20-('V30'!H20),"")</f>
        <v>-9.9149419874736411E-3</v>
      </c>
    </row>
    <row r="22" spans="1:11">
      <c r="B22" s="5" t="s">
        <v>21</v>
      </c>
      <c r="E22" s="13">
        <f>E20/$B$112</f>
        <v>7.4108818011257033E-3</v>
      </c>
      <c r="F22" s="13">
        <f>F20/$B$112</f>
        <v>0.14792120075046902</v>
      </c>
      <c r="G22" s="13">
        <f>G20/$B$112</f>
        <v>2.8221388367729829E-2</v>
      </c>
    </row>
    <row r="23" spans="1:11">
      <c r="B23" s="5" t="s">
        <v>22</v>
      </c>
      <c r="E23" s="8">
        <f>IFERROR((E22-'V30'!E22)/'V30'!E22,"")</f>
        <v>-0.16705393996247653</v>
      </c>
      <c r="F23" s="8">
        <f>IFERROR((F22-'V30'!F22)/'V30'!F22,"")</f>
        <v>-0.16684523385873382</v>
      </c>
      <c r="G23" s="8">
        <f>IFERROR((G22-'V30'!G22)/'V30'!G22,"")</f>
        <v>-0.20800425827940225</v>
      </c>
    </row>
    <row r="24" spans="1:11">
      <c r="B24" s="5" t="s">
        <v>23</v>
      </c>
      <c r="E24" s="18">
        <f>(E22 / AVERAGE('V25'!E22,'V26'!E22,'V27'!E22,'V28'!E22,'V29'!E22,'V30'!E22)) * 100</f>
        <v>80.884678957407445</v>
      </c>
      <c r="F24" s="18">
        <f>(F22 / AVERAGE('V25'!F22,'V26'!F22,'V27'!F22,'V28'!F22,'V29'!F22,'V30'!F22)) * 100</f>
        <v>80.292758206011371</v>
      </c>
      <c r="G24" s="18">
        <f>(G22 / AVERAGE('V25'!G22,'V26'!G22,'V27'!G22,'V28'!G22,'V29'!G22,'V30'!G22)) * 100</f>
        <v>74.766275431447866</v>
      </c>
      <c r="H24" s="14">
        <f>IFERROR((G24*0.6)+(F24*0.4),"")</f>
        <v>76.976868541273262</v>
      </c>
    </row>
    <row r="25" spans="1:11">
      <c r="A25" s="1">
        <v>3</v>
      </c>
      <c r="C25" s="2" t="s">
        <v>31</v>
      </c>
      <c r="D25" s="2" t="s">
        <v>5</v>
      </c>
      <c r="E25" s="2" t="s">
        <v>6</v>
      </c>
      <c r="F25" s="2" t="s">
        <v>7</v>
      </c>
      <c r="G25" s="2" t="s">
        <v>8</v>
      </c>
      <c r="H25" s="2" t="s">
        <v>9</v>
      </c>
      <c r="I25" s="2" t="s">
        <v>10</v>
      </c>
      <c r="J25" s="2" t="s">
        <v>11</v>
      </c>
      <c r="K25" s="2" t="s">
        <v>12</v>
      </c>
    </row>
    <row r="26" spans="1:11">
      <c r="B26" s="6" t="s">
        <v>32</v>
      </c>
      <c r="C26" s="2" t="s">
        <v>33</v>
      </c>
      <c r="D26" s="5" t="s">
        <v>34</v>
      </c>
      <c r="E26" s="7">
        <v>712</v>
      </c>
      <c r="F26" s="7">
        <v>16817.560000000001</v>
      </c>
      <c r="G26" s="7">
        <v>3742.84</v>
      </c>
      <c r="H26" s="8">
        <f>IFERROR(G26/F26,"")</f>
        <v>0.22255547178068638</v>
      </c>
      <c r="I26" s="18">
        <f>IFERROR(((E26/$B$112) / AVERAGE('V25'!E26/'V25'!$B$112, 'V26'!E26/'V26'!$B$112, 'V27'!E26/'V27'!$B$112, 'V28'!E26/'V28'!$B$112, 'V29'!E26/'V29'!$B$112, 'V30'!E26/'V30'!$B$112)) * 100,"")</f>
        <v>114.91220538100065</v>
      </c>
      <c r="J26" s="18">
        <f>IFERROR(((F26/$B$112) / AVERAGE('V25'!F26/'V25'!$B$112, 'V26'!F26/'V26'!$B$112, 'V27'!F26/'V27'!$B$112, 'V28'!F26/'V28'!$B$112, 'V29'!F26/'V29'!$B$112, 'V30'!F26/'V30'!$B$112)) * 100,"")</f>
        <v>114.88642307485142</v>
      </c>
      <c r="K26" s="18">
        <f>IFERROR(((G26/$B$112) / AVERAGE('V25'!G26/'V25'!$B$112, 'V26'!G26/'V26'!$B$112, 'V27'!G26/'V27'!$B$112, 'V28'!G26/'V28'!$B$112, 'V29'!G26/'V29'!$B$112, 'V30'!G26/'V30'!$B$112)) * 100,"")</f>
        <v>115.69134777275305</v>
      </c>
    </row>
    <row r="27" spans="1:11">
      <c r="C27" s="2" t="s">
        <v>35</v>
      </c>
    </row>
    <row r="28" spans="1:11">
      <c r="C28" s="2" t="s">
        <v>36</v>
      </c>
    </row>
    <row r="29" spans="1:11">
      <c r="C29" s="2" t="s">
        <v>37</v>
      </c>
    </row>
    <row r="30" spans="1:11">
      <c r="C30" s="9" t="s">
        <v>19</v>
      </c>
      <c r="D30" s="10"/>
      <c r="E30" s="11">
        <f>SUM(E26:E29)</f>
        <v>712</v>
      </c>
      <c r="F30" s="11">
        <f>SUM(F26:F29)</f>
        <v>16817.560000000001</v>
      </c>
      <c r="G30" s="11">
        <f>SUM(G26:G29)</f>
        <v>3742.84</v>
      </c>
      <c r="H30" s="12">
        <f>IFERROR(G30/F30,"")</f>
        <v>0.22255547178068638</v>
      </c>
    </row>
    <row r="31" spans="1:11">
      <c r="B31" s="5" t="s">
        <v>20</v>
      </c>
      <c r="E31" s="16">
        <f>IFERROR((E30-('V30'!E30))/('V30'!E30),"")</f>
        <v>0.3209647495361781</v>
      </c>
      <c r="F31" s="16">
        <f>IFERROR((F30-('V30'!F30))/('V30'!F30),"")</f>
        <v>0.32049913000873143</v>
      </c>
      <c r="G31" s="16">
        <f>IFERROR((G30-('V30'!G30))/('V30'!G30),"")</f>
        <v>0.33102418207681372</v>
      </c>
      <c r="H31" s="16">
        <f>IFERROR(H30-('V30'!H30),"")</f>
        <v>1.75985377280935E-3</v>
      </c>
    </row>
    <row r="32" spans="1:11">
      <c r="B32" s="5" t="s">
        <v>21</v>
      </c>
      <c r="E32" s="13">
        <f>E30/$B$112</f>
        <v>3.3395872420262665E-2</v>
      </c>
      <c r="F32" s="13">
        <f>F30/$B$112</f>
        <v>0.78881613508442783</v>
      </c>
      <c r="G32" s="13">
        <f>G30/$B$112</f>
        <v>0.17555534709193246</v>
      </c>
    </row>
    <row r="33" spans="1:11">
      <c r="B33" s="5" t="s">
        <v>22</v>
      </c>
      <c r="E33" s="8">
        <f>IFERROR((E32-'V30'!E32)/'V30'!E32,"")</f>
        <v>0.39277516908178928</v>
      </c>
      <c r="F33" s="8">
        <f>IFERROR((F32-'V30'!F32)/'V30'!F32,"")</f>
        <v>0.39228423749841806</v>
      </c>
      <c r="G33" s="8">
        <f>IFERROR((G32-'V30'!G32)/'V30'!G32,"")</f>
        <v>0.40338145351335342</v>
      </c>
    </row>
    <row r="34" spans="1:11">
      <c r="B34" s="5" t="s">
        <v>23</v>
      </c>
      <c r="E34" s="18">
        <f>(E32 / AVERAGE('V25'!E32,'V26'!E32,'V27'!E32,'V28'!E32,'V29'!E32,'V30'!E32)) * 100</f>
        <v>114.91220538100065</v>
      </c>
      <c r="F34" s="18">
        <f>(F32 / AVERAGE('V25'!F32,'V26'!F32,'V27'!F32,'V28'!F32,'V29'!F32,'V30'!F32)) * 100</f>
        <v>114.88642307485142</v>
      </c>
      <c r="G34" s="18">
        <f>(G32 / AVERAGE('V25'!G32,'V26'!G32,'V27'!G32,'V28'!G32,'V29'!G32,'V30'!G32)) * 100</f>
        <v>115.69134777275305</v>
      </c>
      <c r="H34" s="14">
        <f>IFERROR((G34*0.6)+(F34*0.4),"")</f>
        <v>115.3693778935924</v>
      </c>
    </row>
    <row r="35" spans="1:11">
      <c r="A35" s="1">
        <v>4</v>
      </c>
      <c r="C35" s="2" t="s">
        <v>38</v>
      </c>
      <c r="D35" s="2" t="s">
        <v>5</v>
      </c>
      <c r="E35" s="2" t="s">
        <v>6</v>
      </c>
      <c r="F35" s="2" t="s">
        <v>7</v>
      </c>
      <c r="G35" s="2" t="s">
        <v>8</v>
      </c>
      <c r="H35" s="2" t="s">
        <v>9</v>
      </c>
      <c r="I35" s="2" t="s">
        <v>10</v>
      </c>
      <c r="J35" s="2" t="s">
        <v>11</v>
      </c>
      <c r="K35" s="2" t="s">
        <v>12</v>
      </c>
    </row>
    <row r="36" spans="1:11">
      <c r="B36" s="6" t="s">
        <v>39</v>
      </c>
      <c r="C36" s="2" t="s">
        <v>40</v>
      </c>
      <c r="D36" s="5" t="s">
        <v>41</v>
      </c>
      <c r="E36" s="7">
        <v>498</v>
      </c>
      <c r="F36" s="7">
        <v>11762.28</v>
      </c>
      <c r="G36" s="7">
        <v>2627.34</v>
      </c>
      <c r="H36" s="8">
        <f>IFERROR(G36/F36,"")</f>
        <v>0.22336995888552219</v>
      </c>
      <c r="I36" s="18">
        <f>IFERROR(((E36/$B$112) / AVERAGE('V25'!E36/'V25'!$B$112, 'V26'!E36/'V26'!$B$112, 'V27'!E36/'V27'!$B$112, 'V28'!E36/'V28'!$B$112, 'V29'!E36/'V29'!$B$112, 'V30'!E36/'V30'!$B$112)) * 100,"")</f>
        <v>86.118359498257007</v>
      </c>
      <c r="J36" s="18">
        <f>IFERROR(((F36/$B$112) / AVERAGE('V25'!F36/'V25'!$B$112, 'V26'!F36/'V26'!$B$112, 'V27'!F36/'V27'!$B$112, 'V28'!F36/'V28'!$B$112, 'V29'!F36/'V29'!$B$112, 'V30'!F36/'V30'!$B$112)) * 100,"")</f>
        <v>86.10490627533116</v>
      </c>
      <c r="K36" s="18">
        <f>IFERROR(((G36/$B$112) / AVERAGE('V25'!G36/'V25'!$B$112, 'V26'!G36/'V26'!$B$112, 'V27'!G36/'V27'!$B$112, 'V28'!G36/'V28'!$B$112, 'V29'!G36/'V29'!$B$112, 'V30'!G36/'V30'!$B$112)) * 100,"")</f>
        <v>86.083616237766876</v>
      </c>
    </row>
    <row r="37" spans="1:11">
      <c r="C37" s="2" t="s">
        <v>42</v>
      </c>
    </row>
    <row r="38" spans="1:11">
      <c r="C38" s="2" t="s">
        <v>43</v>
      </c>
    </row>
    <row r="39" spans="1:11">
      <c r="C39" s="2" t="s">
        <v>44</v>
      </c>
    </row>
    <row r="40" spans="1:11">
      <c r="C40" s="9" t="s">
        <v>19</v>
      </c>
      <c r="D40" s="10"/>
      <c r="E40" s="11">
        <f>SUM(E36:E39)</f>
        <v>498</v>
      </c>
      <c r="F40" s="11">
        <f>SUM(F36:F39)</f>
        <v>11762.28</v>
      </c>
      <c r="G40" s="11">
        <f>SUM(G36:G39)</f>
        <v>2627.34</v>
      </c>
      <c r="H40" s="12">
        <f>IFERROR(G40/F40,"")</f>
        <v>0.22336995888552219</v>
      </c>
    </row>
    <row r="41" spans="1:11">
      <c r="B41" s="5" t="s">
        <v>20</v>
      </c>
      <c r="E41" s="16">
        <f>IFERROR((E40-('V30'!E40))/('V30'!E40),"")</f>
        <v>8.0971659919028341E-3</v>
      </c>
      <c r="F41" s="16">
        <f>IFERROR((F40-('V30'!F40))/('V30'!F40),"")</f>
        <v>7.8590915945765394E-3</v>
      </c>
      <c r="G41" s="16">
        <f>IFERROR((G40-('V30'!G40))/('V30'!G40),"")</f>
        <v>9.3507491356128111E-3</v>
      </c>
      <c r="H41" s="16">
        <f>IFERROR(H40-('V30'!H40),"")</f>
        <v>3.3010475684283613E-4</v>
      </c>
    </row>
    <row r="42" spans="1:11">
      <c r="B42" s="5" t="s">
        <v>21</v>
      </c>
      <c r="E42" s="13">
        <f>E40/$B$112</f>
        <v>2.3358348968105066E-2</v>
      </c>
      <c r="F42" s="13">
        <f>F40/$B$112</f>
        <v>0.55170168855534707</v>
      </c>
      <c r="G42" s="13">
        <f>G40/$B$112</f>
        <v>0.12323358348968105</v>
      </c>
    </row>
    <row r="43" spans="1:11">
      <c r="B43" s="5" t="s">
        <v>22</v>
      </c>
      <c r="E43" s="8">
        <f>IFERROR((E42-'V30'!E42)/'V30'!E42,"")</f>
        <v>6.2899446263226258E-2</v>
      </c>
      <c r="F43" s="8">
        <f>IFERROR((F42-'V30'!F42)/'V30'!F42,"")</f>
        <v>6.2648429641392209E-2</v>
      </c>
      <c r="G43" s="8">
        <f>IFERROR((G42-'V30'!G42)/'V30'!G42,"")</f>
        <v>6.4221176820799267E-2</v>
      </c>
    </row>
    <row r="44" spans="1:11">
      <c r="B44" s="5" t="s">
        <v>23</v>
      </c>
      <c r="E44" s="18">
        <f>(E42 / AVERAGE('V25'!E42,'V26'!E42,'V27'!E42,'V28'!E42,'V29'!E42,'V30'!E42)) * 100</f>
        <v>86.118359498257007</v>
      </c>
      <c r="F44" s="18">
        <f>(F42 / AVERAGE('V25'!F42,'V26'!F42,'V27'!F42,'V28'!F42,'V29'!F42,'V30'!F42)) * 100</f>
        <v>86.10490627533116</v>
      </c>
      <c r="G44" s="18">
        <f>(G42 / AVERAGE('V25'!G42,'V26'!G42,'V27'!G42,'V28'!G42,'V29'!G42,'V30'!G42)) * 100</f>
        <v>86.083616237766876</v>
      </c>
      <c r="H44" s="14">
        <f>IFERROR((G44*0.6)+(F44*0.4),"")</f>
        <v>86.092132252792595</v>
      </c>
    </row>
    <row r="45" spans="1:11">
      <c r="A45" s="1">
        <v>5</v>
      </c>
      <c r="C45" s="2" t="s">
        <v>45</v>
      </c>
      <c r="D45" s="2" t="s">
        <v>5</v>
      </c>
      <c r="E45" s="2" t="s">
        <v>6</v>
      </c>
      <c r="F45" s="2" t="s">
        <v>7</v>
      </c>
      <c r="G45" s="2" t="s">
        <v>8</v>
      </c>
      <c r="H45" s="2" t="s">
        <v>9</v>
      </c>
      <c r="I45" s="2" t="s">
        <v>10</v>
      </c>
      <c r="J45" s="2" t="s">
        <v>11</v>
      </c>
      <c r="K45" s="2" t="s">
        <v>12</v>
      </c>
    </row>
    <row r="46" spans="1:11">
      <c r="B46" s="6" t="s">
        <v>46</v>
      </c>
      <c r="C46" s="2" t="s">
        <v>47</v>
      </c>
      <c r="D46" s="5" t="s">
        <v>48</v>
      </c>
      <c r="E46" s="7">
        <v>215</v>
      </c>
      <c r="F46" s="7">
        <v>16988.400000000001</v>
      </c>
      <c r="G46" s="7">
        <v>1868.4</v>
      </c>
      <c r="H46" s="8">
        <f>IFERROR(G46/F46,"")</f>
        <v>0.10998092816274634</v>
      </c>
      <c r="I46" s="18">
        <f>IFERROR(((E46/$B$112) / AVERAGE('V25'!E46/'V25'!$B$112, 'V26'!E46/'V26'!$B$112, 'V27'!E46/'V27'!$B$112, 'V28'!E46/'V28'!$B$112, 'V29'!E46/'V29'!$B$112, 'V30'!E46/'V30'!$B$112)) * 100,"")</f>
        <v>87.73266470125435</v>
      </c>
      <c r="J46" s="18">
        <f>IFERROR(((F46/$B$112) / AVERAGE('V25'!F46/'V25'!$B$112, 'V26'!F46/'V26'!$B$112, 'V27'!F46/'V27'!$B$112, 'V28'!F46/'V28'!$B$112, 'V29'!F46/'V29'!$B$112, 'V30'!F46/'V30'!$B$112)) * 100,"")</f>
        <v>92.128513853086346</v>
      </c>
      <c r="K46" s="18">
        <f>IFERROR(((G46/$B$112) / AVERAGE('V25'!G46/'V25'!$B$112, 'V26'!G46/'V26'!$B$112, 'V27'!G46/'V27'!$B$112, 'V28'!G46/'V28'!$B$112, 'V29'!G46/'V29'!$B$112, 'V30'!G46/'V30'!$B$112)) * 100,"")</f>
        <v>203.87526282543624</v>
      </c>
    </row>
    <row r="47" spans="1:11">
      <c r="C47" s="2" t="s">
        <v>49</v>
      </c>
    </row>
    <row r="48" spans="1:11">
      <c r="C48" s="2" t="s">
        <v>50</v>
      </c>
    </row>
    <row r="49" spans="1:11">
      <c r="C49" s="2" t="s">
        <v>51</v>
      </c>
    </row>
    <row r="50" spans="1:11">
      <c r="C50" s="9" t="s">
        <v>19</v>
      </c>
      <c r="D50" s="10"/>
      <c r="E50" s="11">
        <f>SUM(E46:E49)</f>
        <v>215</v>
      </c>
      <c r="F50" s="11">
        <f>SUM(F46:F49)</f>
        <v>16988.400000000001</v>
      </c>
      <c r="G50" s="11">
        <f>SUM(G46:G49)</f>
        <v>1868.4</v>
      </c>
      <c r="H50" s="12">
        <f>IFERROR(G50/F50,"")</f>
        <v>0.10998092816274634</v>
      </c>
    </row>
    <row r="51" spans="1:11">
      <c r="B51" s="5" t="s">
        <v>20</v>
      </c>
      <c r="E51" s="16">
        <f>IFERROR((E50-('V30'!E50))/('V30'!E50),"")</f>
        <v>-8.11965811965812E-2</v>
      </c>
      <c r="F51" s="16">
        <f>IFERROR((F50-('V30'!F50))/('V30'!F50),"")</f>
        <v>-6.7391304347826003E-2</v>
      </c>
      <c r="G51" s="16">
        <f>IFERROR((G50-('V30'!G50))/('V30'!G50),"")</f>
        <v>0.64471830985915501</v>
      </c>
      <c r="H51" s="16">
        <f>IFERROR(H50-('V30'!H50),"")</f>
        <v>4.7618170147814408E-2</v>
      </c>
    </row>
    <row r="52" spans="1:11">
      <c r="B52" s="5" t="s">
        <v>21</v>
      </c>
      <c r="E52" s="13">
        <f>E50/$B$112</f>
        <v>1.0084427767354597E-2</v>
      </c>
      <c r="F52" s="13">
        <f>F50/$B$112</f>
        <v>0.79682926829268297</v>
      </c>
      <c r="G52" s="13">
        <f>G50/$B$112</f>
        <v>8.7636022514071293E-2</v>
      </c>
    </row>
    <row r="53" spans="1:11">
      <c r="B53" s="5" t="s">
        <v>22</v>
      </c>
      <c r="E53" s="8">
        <f>IFERROR((E52-'V30'!E52)/'V30'!E52,"")</f>
        <v>-3.1248496656564179E-2</v>
      </c>
      <c r="F53" s="8">
        <f>IFERROR((F52-'V30'!F52)/'V30'!F52,"")</f>
        <v>-1.6692735949098599E-2</v>
      </c>
      <c r="G53" s="8">
        <f>IFERROR((G52-'V30'!G52)/'V30'!G52,"")</f>
        <v>0.73412865325159216</v>
      </c>
    </row>
    <row r="54" spans="1:11">
      <c r="B54" s="5" t="s">
        <v>23</v>
      </c>
      <c r="E54" s="18">
        <f>(E52 / AVERAGE('V25'!E52,'V26'!E52,'V27'!E52,'V28'!E52,'V29'!E52,'V30'!E52)) * 100</f>
        <v>87.73266470125435</v>
      </c>
      <c r="F54" s="18">
        <f>(F52 / AVERAGE('V25'!F52,'V26'!F52,'V27'!F52,'V28'!F52,'V29'!F52,'V30'!F52)) * 100</f>
        <v>92.128513853086346</v>
      </c>
      <c r="G54" s="18">
        <f>(G52 / AVERAGE('V25'!G52,'V26'!G52,'V27'!G52,'V28'!G52,'V29'!G52,'V30'!G52)) * 100</f>
        <v>203.87526282543624</v>
      </c>
      <c r="H54" s="14">
        <f>IFERROR((G54*0.6)+(F54*0.4),"")</f>
        <v>159.17656323649629</v>
      </c>
    </row>
    <row r="55" spans="1:11">
      <c r="A55" s="1">
        <v>6</v>
      </c>
      <c r="C55" s="2" t="s">
        <v>52</v>
      </c>
      <c r="D55" s="2" t="s">
        <v>5</v>
      </c>
      <c r="E55" s="2" t="s">
        <v>6</v>
      </c>
      <c r="F55" s="2" t="s">
        <v>7</v>
      </c>
      <c r="G55" s="2" t="s">
        <v>8</v>
      </c>
      <c r="H55" s="2" t="s">
        <v>9</v>
      </c>
      <c r="I55" s="2" t="s">
        <v>10</v>
      </c>
      <c r="J55" s="2" t="s">
        <v>11</v>
      </c>
      <c r="K55" s="2" t="s">
        <v>12</v>
      </c>
    </row>
    <row r="56" spans="1:11">
      <c r="B56" s="6" t="s">
        <v>53</v>
      </c>
      <c r="C56" s="2" t="s">
        <v>54</v>
      </c>
      <c r="D56" s="5" t="s">
        <v>55</v>
      </c>
      <c r="E56" s="7">
        <v>195</v>
      </c>
      <c r="F56" s="7">
        <v>7948.2</v>
      </c>
      <c r="G56" s="7">
        <v>1708.2</v>
      </c>
      <c r="H56" s="8">
        <f>IFERROR(G56/F56,"")</f>
        <v>0.21491658488714427</v>
      </c>
      <c r="I56" s="18">
        <f>IFERROR(((E56/$B$112) / AVERAGE('V25'!E56/'V25'!$B$112, 'V26'!E56/'V26'!$B$112, 'V27'!E56/'V27'!$B$112, 'V28'!E56/'V28'!$B$112, 'V29'!E56/'V29'!$B$112, 'V30'!E56/'V30'!$B$112)) * 100,"")</f>
        <v>97.021462209004852</v>
      </c>
      <c r="J56" s="18">
        <f>IFERROR(((F56/$B$112) / AVERAGE('V25'!F56/'V25'!$B$112, 'V26'!F56/'V26'!$B$112, 'V27'!F56/'V27'!$B$112, 'V28'!F56/'V28'!$B$112, 'V29'!F56/'V29'!$B$112, 'V30'!F56/'V30'!$B$112)) * 100,"")</f>
        <v>97.029751621787284</v>
      </c>
      <c r="K56" s="18">
        <f>IFERROR(((G56/$B$112) / AVERAGE('V25'!G56/'V25'!$B$112, 'V26'!G56/'V26'!$B$112, 'V27'!G56/'V27'!$B$112, 'V28'!G56/'V28'!$B$112, 'V29'!G56/'V29'!$B$112, 'V30'!G56/'V30'!$B$112)) * 100,"")</f>
        <v>97.060044623517939</v>
      </c>
    </row>
    <row r="57" spans="1:11">
      <c r="C57" s="2" t="s">
        <v>56</v>
      </c>
    </row>
    <row r="58" spans="1:11">
      <c r="C58" s="2" t="s">
        <v>57</v>
      </c>
    </row>
    <row r="59" spans="1:11">
      <c r="C59" s="2" t="s">
        <v>58</v>
      </c>
    </row>
    <row r="60" spans="1:11">
      <c r="C60" s="9" t="s">
        <v>19</v>
      </c>
      <c r="D60" s="10"/>
      <c r="E60" s="11">
        <f>SUM(E56:E59)</f>
        <v>195</v>
      </c>
      <c r="F60" s="11">
        <f>SUM(F56:F59)</f>
        <v>7948.2</v>
      </c>
      <c r="G60" s="11">
        <f>SUM(G56:G59)</f>
        <v>1708.2</v>
      </c>
      <c r="H60" s="12">
        <f>IFERROR(G60/F60,"")</f>
        <v>0.21491658488714427</v>
      </c>
    </row>
    <row r="61" spans="1:11">
      <c r="B61" s="5" t="s">
        <v>20</v>
      </c>
      <c r="E61" s="16">
        <f>IFERROR((E60-('V30'!E60))/('V30'!E60),"")</f>
        <v>-0.20408163265306123</v>
      </c>
      <c r="F61" s="16">
        <f>IFERROR((F60-('V30'!F60))/('V30'!F60),"")</f>
        <v>-0.20391900770820981</v>
      </c>
      <c r="G61" s="16">
        <f>IFERROR((G60-('V30'!G60))/('V30'!G60),"")</f>
        <v>-0.20332437877770307</v>
      </c>
      <c r="H61" s="16">
        <f>IFERROR(H60-('V30'!H60),"")</f>
        <v>1.6041110787792801E-4</v>
      </c>
    </row>
    <row r="62" spans="1:11">
      <c r="B62" s="5" t="s">
        <v>21</v>
      </c>
      <c r="E62" s="13">
        <f>E60/$B$112</f>
        <v>9.1463414634146336E-3</v>
      </c>
      <c r="F62" s="13">
        <f>F60/$B$112</f>
        <v>0.37280487804878049</v>
      </c>
      <c r="G62" s="13">
        <f>G60/$B$112</f>
        <v>8.0121951219512197E-2</v>
      </c>
    </row>
    <row r="63" spans="1:11">
      <c r="B63" s="5" t="s">
        <v>22</v>
      </c>
      <c r="E63" s="8">
        <f>IFERROR((E62-'V30'!E62)/'V30'!E62,"")</f>
        <v>-0.16081383773021407</v>
      </c>
      <c r="F63" s="8">
        <f>IFERROR((F62-'V30'!F62)/'V30'!F62,"")</f>
        <v>-0.16064237215163452</v>
      </c>
      <c r="G63" s="8">
        <f>IFERROR((G62-'V30'!G62)/'V30'!G62,"")</f>
        <v>-0.16001541794296378</v>
      </c>
    </row>
    <row r="64" spans="1:11">
      <c r="B64" s="5" t="s">
        <v>23</v>
      </c>
      <c r="E64" s="18">
        <f>(E62 / AVERAGE('V25'!E62,'V26'!E62,'V27'!E62,'V28'!E62,'V29'!E62,'V30'!E62)) * 100</f>
        <v>97.021462209004852</v>
      </c>
      <c r="F64" s="18">
        <f>(F62 / AVERAGE('V25'!F62,'V26'!F62,'V27'!F62,'V28'!F62,'V29'!F62,'V30'!F62)) * 100</f>
        <v>97.029751621787284</v>
      </c>
      <c r="G64" s="18">
        <f>(G62 / AVERAGE('V25'!G62,'V26'!G62,'V27'!G62,'V28'!G62,'V29'!G62,'V30'!G62)) * 100</f>
        <v>97.060044623517939</v>
      </c>
      <c r="H64" s="14">
        <f>IFERROR((G64*0.6)+(F64*0.4),"")</f>
        <v>97.04792742282568</v>
      </c>
    </row>
    <row r="65" spans="1:11">
      <c r="A65" s="1">
        <v>7</v>
      </c>
      <c r="C65" s="2" t="s">
        <v>59</v>
      </c>
      <c r="D65" s="2" t="s">
        <v>5</v>
      </c>
      <c r="E65" s="2" t="s">
        <v>6</v>
      </c>
      <c r="F65" s="2" t="s">
        <v>7</v>
      </c>
      <c r="G65" s="2" t="s">
        <v>8</v>
      </c>
      <c r="H65" s="2" t="s">
        <v>9</v>
      </c>
      <c r="I65" s="2" t="s">
        <v>10</v>
      </c>
      <c r="J65" s="2" t="s">
        <v>11</v>
      </c>
      <c r="K65" s="2" t="s">
        <v>12</v>
      </c>
    </row>
    <row r="66" spans="1:11">
      <c r="B66" s="6" t="s">
        <v>60</v>
      </c>
      <c r="C66" s="2" t="s">
        <v>61</v>
      </c>
      <c r="D66" s="5" t="s">
        <v>62</v>
      </c>
      <c r="E66" s="7">
        <v>152</v>
      </c>
      <c r="F66" s="7">
        <v>3155.52</v>
      </c>
      <c r="G66" s="7">
        <v>731.12</v>
      </c>
      <c r="H66" s="8">
        <f>IFERROR(G66/F66,"")</f>
        <v>0.23169556840077071</v>
      </c>
      <c r="I66" s="18">
        <f>IFERROR(((E66/$B$112) / AVERAGE('V25'!E66/'V25'!$B$112, 'V26'!E66/'V26'!$B$112, 'V27'!E66/'V27'!$B$112, 'V28'!E66/'V28'!$B$112, 'V29'!E66/'V29'!$B$112, 'V30'!E66/'V30'!$B$112)) * 100,"")</f>
        <v>118.13292333977728</v>
      </c>
      <c r="J66" s="18">
        <f>IFERROR(((F66/$B$112) / AVERAGE('V25'!F66/'V25'!$B$112, 'V26'!F66/'V26'!$B$112, 'V27'!F66/'V27'!$B$112, 'V28'!F66/'V28'!$B$112, 'V29'!F66/'V29'!$B$112, 'V30'!F66/'V30'!$B$112)) * 100,"")</f>
        <v>118.21663770330635</v>
      </c>
      <c r="K66" s="18">
        <f>IFERROR(((G66/$B$112) / AVERAGE('V25'!G66/'V25'!$B$112, 'V26'!G66/'V26'!$B$112, 'V27'!G66/'V27'!$B$112, 'V28'!G66/'V28'!$B$112, 'V29'!G66/'V29'!$B$112, 'V30'!G66/'V30'!$B$112)) * 100,"")</f>
        <v>118.49508626630731</v>
      </c>
    </row>
    <row r="67" spans="1:11">
      <c r="C67" s="2" t="s">
        <v>63</v>
      </c>
    </row>
    <row r="68" spans="1:11">
      <c r="C68" s="2" t="s">
        <v>64</v>
      </c>
    </row>
    <row r="69" spans="1:11">
      <c r="C69" s="2" t="s">
        <v>65</v>
      </c>
    </row>
    <row r="70" spans="1:11">
      <c r="C70" s="9" t="s">
        <v>19</v>
      </c>
      <c r="D70" s="10"/>
      <c r="E70" s="11">
        <f>SUM(E66:E69)</f>
        <v>152</v>
      </c>
      <c r="F70" s="11">
        <f>SUM(F66:F69)</f>
        <v>3155.52</v>
      </c>
      <c r="G70" s="11">
        <f>SUM(G66:G69)</f>
        <v>731.12</v>
      </c>
      <c r="H70" s="12">
        <f>IFERROR(G70/F70,"")</f>
        <v>0.23169556840077071</v>
      </c>
    </row>
    <row r="71" spans="1:11">
      <c r="B71" s="5" t="s">
        <v>20</v>
      </c>
      <c r="E71" s="16">
        <f>IFERROR((E70-('V30'!E70))/('V30'!E70),"")</f>
        <v>0.12592592592592591</v>
      </c>
      <c r="F71" s="16">
        <f>IFERROR((F70-('V30'!F70))/('V30'!F70),"")</f>
        <v>0.12592592592592597</v>
      </c>
      <c r="G71" s="16">
        <f>IFERROR((G70-('V30'!G70))/('V30'!G70),"")</f>
        <v>0.12592592592592589</v>
      </c>
      <c r="H71" s="16">
        <f>IFERROR(H70-('V30'!H70),"")</f>
        <v>-2.7755575615628914E-17</v>
      </c>
    </row>
    <row r="72" spans="1:11">
      <c r="B72" s="5" t="s">
        <v>21</v>
      </c>
      <c r="E72" s="13">
        <f>E70/$B$112</f>
        <v>7.1294559099437148E-3</v>
      </c>
      <c r="F72" s="13">
        <f>F70/$B$112</f>
        <v>0.14800750469043153</v>
      </c>
      <c r="G72" s="13">
        <f>G70/$B$112</f>
        <v>3.4292682926829271E-2</v>
      </c>
    </row>
    <row r="73" spans="1:11">
      <c r="B73" s="5" t="s">
        <v>22</v>
      </c>
      <c r="E73" s="8">
        <f>IFERROR((E72-'V30'!E72)/'V30'!E72,"")</f>
        <v>0.18713362518240567</v>
      </c>
      <c r="F73" s="8">
        <f>IFERROR((F72-'V30'!F72)/'V30'!F72,"")</f>
        <v>0.18713362518240576</v>
      </c>
      <c r="G73" s="8">
        <f>IFERROR((G72-'V30'!G72)/'V30'!G72,"")</f>
        <v>0.18713362518240573</v>
      </c>
    </row>
    <row r="74" spans="1:11">
      <c r="B74" s="5" t="s">
        <v>23</v>
      </c>
      <c r="E74" s="18">
        <f>(E72 / AVERAGE('V25'!E72,'V26'!E72,'V27'!E72,'V28'!E72,'V29'!E72,'V30'!E72)) * 100</f>
        <v>118.13292333977728</v>
      </c>
      <c r="F74" s="18">
        <f>(F72 / AVERAGE('V25'!F72,'V26'!F72,'V27'!F72,'V28'!F72,'V29'!F72,'V30'!F72)) * 100</f>
        <v>118.21663770330635</v>
      </c>
      <c r="G74" s="18">
        <f>(G72 / AVERAGE('V25'!G72,'V26'!G72,'V27'!G72,'V28'!G72,'V29'!G72,'V30'!G72)) * 100</f>
        <v>118.49508626630731</v>
      </c>
      <c r="H74" s="14">
        <f>IFERROR((G74*0.6)+(F74*0.4),"")</f>
        <v>118.38370684110691</v>
      </c>
    </row>
    <row r="75" spans="1:11">
      <c r="A75" s="1">
        <v>8</v>
      </c>
      <c r="C75" s="2" t="s">
        <v>66</v>
      </c>
      <c r="D75" s="2" t="s">
        <v>5</v>
      </c>
      <c r="E75" s="2" t="s">
        <v>6</v>
      </c>
      <c r="F75" s="2" t="s">
        <v>7</v>
      </c>
      <c r="G75" s="2" t="s">
        <v>8</v>
      </c>
      <c r="H75" s="2" t="s">
        <v>9</v>
      </c>
      <c r="I75" s="2" t="s">
        <v>10</v>
      </c>
      <c r="J75" s="2" t="s">
        <v>11</v>
      </c>
      <c r="K75" s="2" t="s">
        <v>12</v>
      </c>
    </row>
    <row r="76" spans="1:11">
      <c r="B76" s="6" t="s">
        <v>67</v>
      </c>
      <c r="C76" s="2" t="s">
        <v>68</v>
      </c>
      <c r="D76" s="5" t="s">
        <v>69</v>
      </c>
      <c r="E76" s="7">
        <v>51</v>
      </c>
      <c r="F76" s="7">
        <v>1628.38</v>
      </c>
      <c r="G76" s="7">
        <v>353.38</v>
      </c>
      <c r="H76" s="8">
        <f>IFERROR(G76/F76,"")</f>
        <v>0.21701322787064442</v>
      </c>
      <c r="I76" s="18">
        <f>IFERROR(((E76/$B$112) / AVERAGE('V25'!E76/'V25'!$B$112, 'V26'!E76/'V26'!$B$112, 'V27'!E76/'V27'!$B$112, 'V28'!E76/'V28'!$B$112, 'V29'!E76/'V29'!$B$112, 'V30'!E76/'V30'!$B$112)) * 100,"")</f>
        <v>91.747743400801582</v>
      </c>
      <c r="J76" s="18">
        <f>IFERROR(((F76/$B$112) / AVERAGE('V25'!F76/'V25'!$B$112, 'V26'!F76/'V26'!$B$112, 'V27'!F76/'V27'!$B$112, 'V28'!F76/'V28'!$B$112, 'V29'!F76/'V29'!$B$112, 'V30'!F76/'V30'!$B$112)) * 100,"")</f>
        <v>91.767505558391193</v>
      </c>
      <c r="K76" s="18">
        <f>IFERROR(((G76/$B$112) / AVERAGE('V25'!G76/'V25'!$B$112, 'V26'!G76/'V26'!$B$112, 'V27'!G76/'V27'!$B$112, 'V28'!G76/'V28'!$B$112, 'V29'!G76/'V29'!$B$112, 'V30'!G76/'V30'!$B$112)) * 100,"")</f>
        <v>91.838878526397295</v>
      </c>
    </row>
    <row r="77" spans="1:11">
      <c r="C77" s="2" t="s">
        <v>70</v>
      </c>
    </row>
    <row r="78" spans="1:11">
      <c r="C78" s="2" t="s">
        <v>71</v>
      </c>
    </row>
    <row r="79" spans="1:11">
      <c r="C79" s="2" t="s">
        <v>72</v>
      </c>
    </row>
    <row r="80" spans="1:11">
      <c r="C80" s="9" t="s">
        <v>19</v>
      </c>
      <c r="D80" s="10"/>
      <c r="E80" s="11">
        <f>SUM(E76:E79)</f>
        <v>51</v>
      </c>
      <c r="F80" s="11">
        <f>SUM(F76:F79)</f>
        <v>1628.38</v>
      </c>
      <c r="G80" s="11">
        <f>SUM(G76:G79)</f>
        <v>353.38</v>
      </c>
      <c r="H80" s="12">
        <f>IFERROR(G80/F80,"")</f>
        <v>0.21701322787064442</v>
      </c>
    </row>
    <row r="81" spans="1:11">
      <c r="B81" s="5" t="s">
        <v>20</v>
      </c>
      <c r="E81" s="16">
        <f>IFERROR((E80-('V30'!E80))/('V30'!E80),"")</f>
        <v>-0.1206896551724138</v>
      </c>
      <c r="F81" s="16">
        <f>IFERROR((F80-('V30'!F80))/('V30'!F80),"")</f>
        <v>-0.12078311951967509</v>
      </c>
      <c r="G81" s="16">
        <f>IFERROR((G80-('V30'!G80))/('V30'!G80),"")</f>
        <v>-0.1211201750895344</v>
      </c>
      <c r="H81" s="16">
        <f>IFERROR(H80-('V30'!H80),"")</f>
        <v>-8.322584625766738E-5</v>
      </c>
    </row>
    <row r="82" spans="1:11">
      <c r="B82" s="5" t="s">
        <v>21</v>
      </c>
      <c r="E82" s="13">
        <f>E80/$B$112</f>
        <v>2.3921200750469042E-3</v>
      </c>
      <c r="F82" s="13">
        <f>F80/$B$112</f>
        <v>7.6378048780487803E-2</v>
      </c>
      <c r="G82" s="13">
        <f>G80/$B$112</f>
        <v>1.6575046904315195E-2</v>
      </c>
    </row>
    <row r="83" spans="1:11">
      <c r="B83" s="5" t="s">
        <v>22</v>
      </c>
      <c r="E83" s="8">
        <f>IFERROR((E82-'V30'!E82)/'V30'!E82,"")</f>
        <v>-7.2888497121045476E-2</v>
      </c>
      <c r="F83" s="8">
        <f>IFERROR((F82-'V30'!F82)/'V30'!F82,"")</f>
        <v>-7.2987042386621862E-2</v>
      </c>
      <c r="G83" s="8">
        <f>IFERROR((G82-'V30'!G82)/'V30'!G82,"")</f>
        <v>-7.3342421005518146E-2</v>
      </c>
    </row>
    <row r="84" spans="1:11">
      <c r="B84" s="5" t="s">
        <v>23</v>
      </c>
      <c r="E84" s="18">
        <f>(E82 / AVERAGE('V25'!E82,'V26'!E82,'V27'!E82,'V28'!E82,'V29'!E82,'V30'!E82)) * 100</f>
        <v>91.747743400801582</v>
      </c>
      <c r="F84" s="18">
        <f>(F82 / AVERAGE('V25'!F82,'V26'!F82,'V27'!F82,'V28'!F82,'V29'!F82,'V30'!F82)) * 100</f>
        <v>91.767505558391193</v>
      </c>
      <c r="G84" s="18">
        <f>(G82 / AVERAGE('V25'!G82,'V26'!G82,'V27'!G82,'V28'!G82,'V29'!G82,'V30'!G82)) * 100</f>
        <v>91.838878526397295</v>
      </c>
      <c r="H84" s="14">
        <f>IFERROR((G84*0.6)+(F84*0.4),"")</f>
        <v>91.810329339194851</v>
      </c>
    </row>
    <row r="85" spans="1:11">
      <c r="A85" s="1">
        <v>9</v>
      </c>
      <c r="C85" s="2" t="s">
        <v>73</v>
      </c>
      <c r="D85" s="2" t="s">
        <v>5</v>
      </c>
      <c r="E85" s="2" t="s">
        <v>6</v>
      </c>
      <c r="F85" s="2" t="s">
        <v>7</v>
      </c>
      <c r="G85" s="2" t="s">
        <v>8</v>
      </c>
      <c r="H85" s="2" t="s">
        <v>9</v>
      </c>
      <c r="I85" s="2" t="s">
        <v>10</v>
      </c>
      <c r="J85" s="2" t="s">
        <v>11</v>
      </c>
      <c r="K85" s="2" t="s">
        <v>12</v>
      </c>
    </row>
    <row r="86" spans="1:11">
      <c r="B86" s="6" t="s">
        <v>74</v>
      </c>
      <c r="C86" s="2" t="s">
        <v>75</v>
      </c>
      <c r="D86" s="5" t="s">
        <v>76</v>
      </c>
      <c r="E86" s="7">
        <v>237</v>
      </c>
      <c r="F86" s="7">
        <v>8532</v>
      </c>
      <c r="G86" s="7">
        <v>1426.74</v>
      </c>
      <c r="H86" s="8">
        <f>IFERROR(G86/F86,"")</f>
        <v>0.16722222222222222</v>
      </c>
      <c r="I86" s="18">
        <f>IFERROR(((E86/$B$112) / AVERAGE('V25'!E86/'V25'!$B$112, 'V26'!E86/'V26'!$B$112, 'V27'!E86/'V27'!$B$112, 'V28'!E86/'V28'!$B$112, 'V29'!E86/'V29'!$B$112, 'V30'!E86/'V30'!$B$112)) * 100,"")</f>
        <v>100.5802797450315</v>
      </c>
      <c r="J86" s="18">
        <f>IFERROR(((F86/$B$112) / AVERAGE('V25'!F86/'V25'!$B$112, 'V26'!F86/'V26'!$B$112, 'V27'!F86/'V27'!$B$112, 'V28'!F86/'V28'!$B$112, 'V29'!F86/'V29'!$B$112, 'V30'!F86/'V30'!$B$112)) * 100,"")</f>
        <v>100.59111582977562</v>
      </c>
      <c r="K86" s="18">
        <f>IFERROR(((G86/$B$112) / AVERAGE('V25'!G86/'V25'!$B$112, 'V26'!G86/'V26'!$B$112, 'V27'!G86/'V27'!$B$112, 'V28'!G86/'V28'!$B$112, 'V29'!G86/'V29'!$B$112, 'V30'!G86/'V30'!$B$112)) * 100,"")</f>
        <v>99.248186209457842</v>
      </c>
    </row>
    <row r="87" spans="1:11">
      <c r="C87" s="2" t="s">
        <v>77</v>
      </c>
    </row>
    <row r="88" spans="1:11">
      <c r="C88" s="2" t="s">
        <v>78</v>
      </c>
    </row>
    <row r="89" spans="1:11">
      <c r="C89" s="2" t="s">
        <v>79</v>
      </c>
    </row>
    <row r="90" spans="1:11">
      <c r="C90" s="9" t="s">
        <v>19</v>
      </c>
      <c r="D90" s="10"/>
      <c r="E90" s="11">
        <f>SUM(E86:E89)</f>
        <v>237</v>
      </c>
      <c r="F90" s="11">
        <f>SUM(F86:F89)</f>
        <v>8532</v>
      </c>
      <c r="G90" s="11">
        <f>SUM(G86:G89)</f>
        <v>1426.74</v>
      </c>
      <c r="H90" s="12">
        <f>IFERROR(G90/F90,"")</f>
        <v>0.16722222222222222</v>
      </c>
    </row>
    <row r="91" spans="1:11">
      <c r="B91" s="5" t="s">
        <v>20</v>
      </c>
      <c r="E91" s="16">
        <f>IFERROR((E90-('V30'!E90))/('V30'!E90),"")</f>
        <v>8.5106382978723406E-3</v>
      </c>
      <c r="F91" s="16">
        <f>IFERROR((F90-('V30'!F90))/('V30'!F90),"")</f>
        <v>8.5106382978723406E-3</v>
      </c>
      <c r="G91" s="16">
        <f>IFERROR((G90-('V30'!G90))/('V30'!G90),"")</f>
        <v>8.5106382978723145E-3</v>
      </c>
      <c r="H91" s="16">
        <f>IFERROR(H90-('V30'!H90),"")</f>
        <v>0</v>
      </c>
    </row>
    <row r="92" spans="1:11">
      <c r="B92" s="5" t="s">
        <v>21</v>
      </c>
      <c r="E92" s="13">
        <f>E90/$B$112</f>
        <v>1.1116322701688556E-2</v>
      </c>
      <c r="F92" s="13">
        <f>F90/$B$112</f>
        <v>0.400187617260788</v>
      </c>
      <c r="G92" s="13">
        <f>G90/$B$112</f>
        <v>6.6920262664165106E-2</v>
      </c>
    </row>
    <row r="93" spans="1:11">
      <c r="B93" s="5" t="s">
        <v>22</v>
      </c>
      <c r="E93" s="8">
        <f>IFERROR((E92-'V30'!E92)/'V30'!E92,"")</f>
        <v>6.3335395792583113E-2</v>
      </c>
      <c r="F93" s="8">
        <f>IFERROR((F92-'V30'!F92)/'V30'!F92,"")</f>
        <v>6.3335395792583196E-2</v>
      </c>
      <c r="G93" s="8">
        <f>IFERROR((G92-'V30'!G92)/'V30'!G92,"")</f>
        <v>6.3335395792583127E-2</v>
      </c>
    </row>
    <row r="94" spans="1:11">
      <c r="B94" s="5" t="s">
        <v>23</v>
      </c>
      <c r="E94" s="18">
        <f>(E92 / AVERAGE('V25'!E92,'V26'!E92,'V27'!E92,'V28'!E92,'V29'!E92,'V30'!E92)) * 100</f>
        <v>100.5802797450315</v>
      </c>
      <c r="F94" s="18">
        <f>(F92 / AVERAGE('V25'!F92,'V26'!F92,'V27'!F92,'V28'!F92,'V29'!F92,'V30'!F92)) * 100</f>
        <v>100.59111582977562</v>
      </c>
      <c r="G94" s="18">
        <f>(G92 / AVERAGE('V25'!G92,'V26'!G92,'V27'!G92,'V28'!G92,'V29'!G92,'V30'!G92)) * 100</f>
        <v>99.248186209457842</v>
      </c>
      <c r="H94" s="14">
        <f>IFERROR((G94*0.6)+(F94*0.4),"")</f>
        <v>99.785358057584943</v>
      </c>
    </row>
    <row r="95" spans="1:11">
      <c r="A95" s="1">
        <v>10</v>
      </c>
      <c r="C95" s="2" t="s">
        <v>80</v>
      </c>
      <c r="D95" s="2" t="s">
        <v>5</v>
      </c>
      <c r="E95" s="2" t="s">
        <v>6</v>
      </c>
      <c r="F95" s="2" t="s">
        <v>7</v>
      </c>
      <c r="G95" s="2" t="s">
        <v>8</v>
      </c>
      <c r="H95" s="2" t="s">
        <v>9</v>
      </c>
      <c r="I95" s="2" t="s">
        <v>10</v>
      </c>
      <c r="J95" s="2" t="s">
        <v>11</v>
      </c>
      <c r="K95" s="2" t="s">
        <v>12</v>
      </c>
    </row>
    <row r="96" spans="1:11">
      <c r="B96" s="6" t="s">
        <v>81</v>
      </c>
      <c r="C96" s="2" t="s">
        <v>82</v>
      </c>
      <c r="D96" s="5" t="s">
        <v>83</v>
      </c>
      <c r="E96" s="7">
        <v>295</v>
      </c>
      <c r="F96" s="7">
        <v>10620</v>
      </c>
      <c r="G96" s="7">
        <v>1775.9</v>
      </c>
      <c r="H96" s="8">
        <f>IFERROR(G96/F96,"")</f>
        <v>0.16722222222222224</v>
      </c>
      <c r="I96" s="18">
        <f>IFERROR(((E96/$B$112) / AVERAGE('V25'!E96/'V25'!$B$112, 'V26'!E96/'V26'!$B$112, 'V27'!E96/'V27'!$B$112, 'V28'!E96/'V28'!$B$112, 'V29'!E96/'V29'!$B$112, 'V30'!E96/'V30'!$B$112)) * 100,"")</f>
        <v>100.9794551707748</v>
      </c>
      <c r="J96" s="18">
        <f>IFERROR(((F96/$B$112) / AVERAGE('V25'!F96/'V25'!$B$112, 'V26'!F96/'V26'!$B$112, 'V27'!F96/'V27'!$B$112, 'V28'!F96/'V28'!$B$112, 'V29'!F96/'V29'!$B$112, 'V30'!F96/'V30'!$B$112)) * 100,"")</f>
        <v>100.99498790825356</v>
      </c>
      <c r="K96" s="18">
        <f>IFERROR(((G96/$B$112) / AVERAGE('V25'!G96/'V25'!$B$112, 'V26'!G96/'V26'!$B$112, 'V27'!G96/'V27'!$B$112, 'V28'!G96/'V28'!$B$112, 'V29'!G96/'V29'!$B$112, 'V30'!G96/'V30'!$B$112)) * 100,"")</f>
        <v>99.725361540103663</v>
      </c>
    </row>
    <row r="97" spans="2:8">
      <c r="C97" s="2" t="s">
        <v>84</v>
      </c>
    </row>
    <row r="98" spans="2:8">
      <c r="C98" s="2" t="s">
        <v>85</v>
      </c>
    </row>
    <row r="99" spans="2:8">
      <c r="C99" s="2" t="s">
        <v>86</v>
      </c>
    </row>
    <row r="100" spans="2:8">
      <c r="C100" s="9" t="s">
        <v>19</v>
      </c>
      <c r="D100" s="10"/>
      <c r="E100" s="11">
        <f>SUM(E96:E99)</f>
        <v>295</v>
      </c>
      <c r="F100" s="11">
        <f>SUM(F96:F99)</f>
        <v>10620</v>
      </c>
      <c r="G100" s="11">
        <f>SUM(G96:G99)</f>
        <v>1775.9</v>
      </c>
      <c r="H100" s="12">
        <f>IFERROR(G100/F100,"")</f>
        <v>0.16722222222222224</v>
      </c>
    </row>
    <row r="101" spans="2:8">
      <c r="B101" s="5" t="s">
        <v>20</v>
      </c>
      <c r="E101" s="16">
        <f>IFERROR((E100-('V30'!E100))/('V30'!E100),"")</f>
        <v>-1.9933554817275746E-2</v>
      </c>
      <c r="F101" s="16">
        <f>IFERROR((F100-('V30'!F100))/('V30'!F100),"")</f>
        <v>-1.960784313725487E-2</v>
      </c>
      <c r="G101" s="16">
        <f>IFERROR((G100-('V30'!G100))/('V30'!G100),"")</f>
        <v>-1.7982548301832529E-2</v>
      </c>
      <c r="H101" s="16">
        <f>IFERROR(H100-('V30'!H100),"")</f>
        <v>2.7676230567558191E-4</v>
      </c>
    </row>
    <row r="102" spans="2:8">
      <c r="B102" s="5" t="s">
        <v>21</v>
      </c>
      <c r="E102" s="13">
        <f>E100/$B$112</f>
        <v>1.3836772983114446E-2</v>
      </c>
      <c r="F102" s="13">
        <f>F100/$B$112</f>
        <v>0.49812382739212008</v>
      </c>
      <c r="G102" s="13">
        <f>G100/$B$112</f>
        <v>8.3297373358348969E-2</v>
      </c>
    </row>
    <row r="103" spans="2:8">
      <c r="B103" s="5" t="s">
        <v>22</v>
      </c>
      <c r="E103" s="8">
        <f>IFERROR((E102-'V30'!E102)/'V30'!E102,"")</f>
        <v>3.3344916569533659E-2</v>
      </c>
      <c r="F103" s="8">
        <f>IFERROR((F102-'V30'!F102)/'V30'!F102,"")</f>
        <v>3.368833462090285E-2</v>
      </c>
      <c r="G103" s="8">
        <f>IFERROR((G102-'V30'!G102)/'V30'!G102,"")</f>
        <v>3.5401983898832444E-2</v>
      </c>
    </row>
    <row r="104" spans="2:8">
      <c r="B104" s="5" t="s">
        <v>23</v>
      </c>
      <c r="E104" s="18">
        <f>(E102 / AVERAGE('V25'!E102,'V26'!E102,'V27'!E102,'V28'!E102,'V29'!E102,'V30'!E102)) * 100</f>
        <v>100.9794551707748</v>
      </c>
      <c r="F104" s="18">
        <f>(F102 / AVERAGE('V25'!F102,'V26'!F102,'V27'!F102,'V28'!F102,'V29'!F102,'V30'!F102)) * 100</f>
        <v>100.99498790825356</v>
      </c>
      <c r="G104" s="18">
        <f>(G102 / AVERAGE('V25'!G102,'V26'!G102,'V27'!G102,'V28'!G102,'V29'!G102,'V30'!G102)) * 100</f>
        <v>99.725361540103663</v>
      </c>
      <c r="H104" s="14">
        <f>IFERROR((G104*0.6)+(F104*0.4),"")</f>
        <v>100.23321208736363</v>
      </c>
    </row>
    <row r="106" spans="2:8">
      <c r="B106" s="2" t="s">
        <v>87</v>
      </c>
      <c r="E106" s="15">
        <f>E10+E20+E30+E40+E50+E60+E70+E80+E90+E100</f>
        <v>2712</v>
      </c>
      <c r="F106" s="15">
        <f>F10+F20+F30+F40+F50+F60+F70+F80+F90+F100</f>
        <v>94926.060000000012</v>
      </c>
      <c r="G106" s="15">
        <f>G10+G20+G30+G40+G50+G60+G70+G80+G90+G100</f>
        <v>18409.640000000003</v>
      </c>
      <c r="H106" s="16">
        <f>IFERROR(G106/F106,"")</f>
        <v>0.19393662815037305</v>
      </c>
    </row>
    <row r="107" spans="2:8">
      <c r="B107" s="5" t="s">
        <v>88</v>
      </c>
      <c r="E107" s="16">
        <f>IFERROR((E106-'V30'!E106)/'V30'!E106,"")</f>
        <v>2.3010184835910975E-2</v>
      </c>
      <c r="F107" s="16">
        <f>IFERROR((F106-'V30'!F106)/'V30'!F106,"")</f>
        <v>-7.5951966157516903E-3</v>
      </c>
      <c r="G107" s="16">
        <f>IFERROR((G106-'V30'!G106)/'V30'!G106,"")</f>
        <v>4.9657585991216231E-2</v>
      </c>
      <c r="H107" s="16">
        <f>IFERROR(H106-'V30'!H106,"")</f>
        <v>1.0578127342867227E-2</v>
      </c>
    </row>
    <row r="108" spans="2:8">
      <c r="B108" s="5" t="s">
        <v>21</v>
      </c>
      <c r="E108" s="13">
        <f>E106/$B$112</f>
        <v>0.12720450281425891</v>
      </c>
      <c r="F108" s="13">
        <f>F106/$B$112</f>
        <v>4.4524418386491567</v>
      </c>
      <c r="G108" s="13">
        <f>G106/$B$112</f>
        <v>0.86349155722326465</v>
      </c>
    </row>
    <row r="109" spans="2:8">
      <c r="B109" s="5" t="s">
        <v>22</v>
      </c>
      <c r="E109" s="8">
        <f>IFERROR((E108-'V30'!E108)/'V30'!E108,"")</f>
        <v>7.8623168148519787E-2</v>
      </c>
      <c r="F109" s="8">
        <f>IFERROR((F108-'V30'!F108)/'V30'!F108,"")</f>
        <v>4.6354013849649087E-2</v>
      </c>
      <c r="G109" s="8">
        <f>IFERROR((G108-'V30'!G108)/'V30'!G108,"")</f>
        <v>0.10671917802516646</v>
      </c>
    </row>
    <row r="110" spans="2:8">
      <c r="B110" s="5" t="s">
        <v>23</v>
      </c>
      <c r="E110" s="18">
        <f>IFERROR((E108 / AVERAGE('V25'!E108,'V26'!E108,'V27'!E108,'V28'!E108,'V29'!E108,'V30'!E108)) * 100,"")</f>
        <v>100.76129127573728</v>
      </c>
      <c r="F110" s="18">
        <f>IFERROR((F108 / AVERAGE('V25'!F108,'V26'!F108,'V27'!F108,'V28'!F108,'V29'!F108,'V30'!F108)) * 100,"")</f>
        <v>102.78292801883855</v>
      </c>
      <c r="G110" s="18">
        <f>IFERROR((G108 / AVERAGE('V25'!G108,'V26'!G108,'V27'!G108,'V28'!G108,'V29'!G108,'V30'!G108)) * 100,"")</f>
        <v>112.43505751471987</v>
      </c>
      <c r="H110" s="14">
        <f>IFERROR((G110*0.6)+(F110*0.4),"")</f>
        <v>108.57420571636735</v>
      </c>
    </row>
    <row r="111" spans="2:8">
      <c r="B111" s="5" t="s">
        <v>89</v>
      </c>
      <c r="C111" s="5" t="s">
        <v>90</v>
      </c>
      <c r="D111" s="5" t="s">
        <v>91</v>
      </c>
    </row>
    <row r="112" spans="2:8">
      <c r="B112" s="17">
        <v>21320</v>
      </c>
      <c r="C112" s="17">
        <f>B112-'V30'!$B$112</f>
        <v>-1159</v>
      </c>
      <c r="D112" s="19">
        <f>C112/'V30'!$B$112</f>
        <v>-5.1559233061968947E-2</v>
      </c>
    </row>
  </sheetData>
  <conditionalFormatting sqref="E11:G11">
    <cfRule type="cellIs" dxfId="263" priority="1" operator="lessThan">
      <formula>0</formula>
    </cfRule>
    <cfRule type="cellIs" dxfId="262" priority="2" operator="greaterThan">
      <formula>0</formula>
    </cfRule>
  </conditionalFormatting>
  <conditionalFormatting sqref="E21:G21">
    <cfRule type="cellIs" dxfId="261" priority="3" operator="lessThan">
      <formula>0</formula>
    </cfRule>
    <cfRule type="cellIs" dxfId="260" priority="4" operator="greaterThan">
      <formula>0</formula>
    </cfRule>
  </conditionalFormatting>
  <conditionalFormatting sqref="E31:G31">
    <cfRule type="cellIs" dxfId="259" priority="5" operator="lessThan">
      <formula>0</formula>
    </cfRule>
    <cfRule type="cellIs" dxfId="258" priority="6" operator="greaterThan">
      <formula>0</formula>
    </cfRule>
  </conditionalFormatting>
  <conditionalFormatting sqref="E41:G41">
    <cfRule type="cellIs" dxfId="257" priority="7" operator="lessThan">
      <formula>0</formula>
    </cfRule>
    <cfRule type="cellIs" dxfId="256" priority="8" operator="greaterThan">
      <formula>0</formula>
    </cfRule>
  </conditionalFormatting>
  <conditionalFormatting sqref="E51:G51">
    <cfRule type="cellIs" dxfId="255" priority="9" operator="lessThan">
      <formula>0</formula>
    </cfRule>
    <cfRule type="cellIs" dxfId="254" priority="10" operator="greaterThan">
      <formula>0</formula>
    </cfRule>
  </conditionalFormatting>
  <conditionalFormatting sqref="E61:G61">
    <cfRule type="cellIs" dxfId="253" priority="11" operator="lessThan">
      <formula>0</formula>
    </cfRule>
    <cfRule type="cellIs" dxfId="252" priority="12" operator="greaterThan">
      <formula>0</formula>
    </cfRule>
  </conditionalFormatting>
  <conditionalFormatting sqref="E71:G71">
    <cfRule type="cellIs" dxfId="251" priority="13" operator="lessThan">
      <formula>0</formula>
    </cfRule>
    <cfRule type="cellIs" dxfId="250" priority="14" operator="greaterThan">
      <formula>0</formula>
    </cfRule>
  </conditionalFormatting>
  <conditionalFormatting sqref="E81:G81">
    <cfRule type="cellIs" dxfId="249" priority="15" operator="lessThan">
      <formula>0</formula>
    </cfRule>
    <cfRule type="cellIs" dxfId="248" priority="16" operator="greaterThan">
      <formula>0</formula>
    </cfRule>
  </conditionalFormatting>
  <conditionalFormatting sqref="E91:G91">
    <cfRule type="cellIs" dxfId="247" priority="17" operator="lessThan">
      <formula>0</formula>
    </cfRule>
    <cfRule type="cellIs" dxfId="246" priority="18" operator="greaterThan">
      <formula>0</formula>
    </cfRule>
  </conditionalFormatting>
  <conditionalFormatting sqref="E101:G101">
    <cfRule type="cellIs" dxfId="245" priority="19" operator="lessThan">
      <formula>0</formula>
    </cfRule>
    <cfRule type="cellIs" dxfId="244" priority="20" operator="greaterThan">
      <formula>0</formula>
    </cfRule>
  </conditionalFormatting>
  <conditionalFormatting sqref="E107:G107">
    <cfRule type="cellIs" dxfId="243" priority="21" operator="lessThan">
      <formula>0</formula>
    </cfRule>
    <cfRule type="cellIs" dxfId="242" priority="22" operator="greaterThan">
      <formula>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12"/>
  <sheetViews>
    <sheetView zoomScaleNormal="100" zoomScaleSheetLayoutView="100" workbookViewId="0"/>
  </sheetViews>
  <sheetFormatPr defaultRowHeight="15"/>
  <cols>
    <col min="2" max="2" width="16" customWidth="1"/>
    <col min="4" max="4" width="26" customWidth="1"/>
    <col min="5" max="5" width="10" customWidth="1"/>
    <col min="6" max="7" width="12" customWidth="1"/>
    <col min="8" max="8" width="10" customWidth="1"/>
    <col min="9" max="11" width="12" customWidth="1"/>
  </cols>
  <sheetData>
    <row r="1" spans="1:11">
      <c r="A1" s="1" t="s">
        <v>0</v>
      </c>
    </row>
    <row r="3" spans="1:11">
      <c r="C3" s="2" t="s">
        <v>110</v>
      </c>
    </row>
    <row r="4" spans="1:11">
      <c r="C4" s="3" t="s">
        <v>111</v>
      </c>
      <c r="I4" s="4">
        <v>32</v>
      </c>
      <c r="J4" s="5" t="s">
        <v>3</v>
      </c>
    </row>
    <row r="5" spans="1:11">
      <c r="A5" s="1">
        <v>1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</row>
    <row r="6" spans="1:11">
      <c r="B6" s="6" t="s">
        <v>104</v>
      </c>
      <c r="C6" s="2" t="s">
        <v>14</v>
      </c>
      <c r="D6" s="5" t="s">
        <v>105</v>
      </c>
      <c r="E6" s="7">
        <v>174</v>
      </c>
      <c r="F6" s="7">
        <v>12517.44</v>
      </c>
      <c r="G6" s="7">
        <v>3121.44</v>
      </c>
      <c r="H6" s="8">
        <f>IFERROR(G6/F6,"")</f>
        <v>0.24936728276708336</v>
      </c>
      <c r="I6" s="18">
        <f>IFERROR(((E6/$B$112) / AVERAGE('V25'!E6/'V25'!$B$112, 'V26'!E6/'V26'!$B$112, 'V27'!E6/'V27'!$B$112, 'V28'!E6/'V28'!$B$112, 'V29'!E6/'V29'!$B$112, 'V30'!E6/'V30'!$B$112, 'V31'!E6/'V31'!$B$112)) * 100,"")</f>
        <v>133.57867733599454</v>
      </c>
      <c r="J6" s="18">
        <f>IFERROR(((F6/$B$112) / AVERAGE('V25'!F6/'V25'!$B$112, 'V26'!F6/'V26'!$B$112, 'V27'!F6/'V27'!$B$112, 'V28'!F6/'V28'!$B$112, 'V29'!F6/'V29'!$B$112, 'V30'!F6/'V30'!$B$112, 'V31'!F6/'V31'!$B$112)) * 100,"")</f>
        <v>133.89472463873628</v>
      </c>
      <c r="K6" s="18">
        <f>IFERROR(((G6/$B$112) / AVERAGE('V25'!G6/'V25'!$B$112, 'V26'!G6/'V26'!$B$112, 'V27'!G6/'V27'!$B$112, 'V28'!G6/'V28'!$B$112, 'V29'!G6/'V29'!$B$112, 'V30'!G6/'V30'!$B$112, 'V31'!G6/'V31'!$B$112)) * 100,"")</f>
        <v>139.38896738220205</v>
      </c>
    </row>
    <row r="7" spans="1:11">
      <c r="C7" s="2" t="s">
        <v>16</v>
      </c>
    </row>
    <row r="8" spans="1:11">
      <c r="C8" s="2" t="s">
        <v>17</v>
      </c>
    </row>
    <row r="9" spans="1:11">
      <c r="C9" s="2" t="s">
        <v>18</v>
      </c>
    </row>
    <row r="10" spans="1:11">
      <c r="C10" s="9" t="s">
        <v>19</v>
      </c>
      <c r="D10" s="10"/>
      <c r="E10" s="11">
        <f>SUM(E6:E9)</f>
        <v>174</v>
      </c>
      <c r="F10" s="11">
        <f>SUM(F6:F9)</f>
        <v>12517.44</v>
      </c>
      <c r="G10" s="11">
        <f>SUM(G6:G9)</f>
        <v>3121.44</v>
      </c>
      <c r="H10" s="12">
        <f>IFERROR(G10/F10,"")</f>
        <v>0.24936728276708336</v>
      </c>
    </row>
    <row r="11" spans="1:11">
      <c r="B11" s="5" t="s">
        <v>20</v>
      </c>
      <c r="E11" s="16">
        <f>IFERROR((E10-('V31'!E10))/('V31'!E10),"")</f>
        <v>-0.12562814070351758</v>
      </c>
      <c r="F11" s="16">
        <f>IFERROR((F10-('V31'!F10))/('V31'!F10),"")</f>
        <v>-0.12587953664933899</v>
      </c>
      <c r="G11" s="16">
        <f>IFERROR((G10-('V31'!G10))/('V31'!G10),"")</f>
        <v>-0.12663540419245445</v>
      </c>
      <c r="H11" s="16">
        <f>IFERROR(H10-('V31'!H10),"")</f>
        <v>-2.158189560961532E-4</v>
      </c>
    </row>
    <row r="12" spans="1:11">
      <c r="B12" s="5" t="s">
        <v>21</v>
      </c>
      <c r="E12" s="13">
        <f>E10/$B$112</f>
        <v>9.3112859206935308E-3</v>
      </c>
      <c r="F12" s="13">
        <f>F10/$B$112</f>
        <v>0.66984748755819556</v>
      </c>
      <c r="G12" s="13">
        <f>G10/$B$112</f>
        <v>0.16703804784074491</v>
      </c>
    </row>
    <row r="13" spans="1:11">
      <c r="B13" s="5" t="s">
        <v>22</v>
      </c>
      <c r="E13" s="8">
        <f>IFERROR((E12-'V31'!E12)/'V31'!E12,"")</f>
        <v>-2.4290661849945732E-3</v>
      </c>
      <c r="F13" s="8">
        <f>IFERROR((F12-'V31'!F12)/'V31'!F12,"")</f>
        <v>-2.7158838424523185E-3</v>
      </c>
      <c r="G13" s="8">
        <f>IFERROR((G12-'V31'!G12)/'V31'!G12,"")</f>
        <v>-3.5782531911557392E-3</v>
      </c>
    </row>
    <row r="14" spans="1:11">
      <c r="B14" s="5" t="s">
        <v>23</v>
      </c>
      <c r="E14" s="18">
        <f>(E12 / AVERAGE('V25'!E12,'V26'!E12,'V27'!E12,'V28'!E12,'V29'!E12,'V30'!E12,'V31'!E12)) * 100</f>
        <v>133.57867733599454</v>
      </c>
      <c r="F14" s="18">
        <f>(F12 / AVERAGE('V25'!F12,'V26'!F12,'V27'!F12,'V28'!F12,'V29'!F12,'V30'!F12,'V31'!F12)) * 100</f>
        <v>133.89472463873628</v>
      </c>
      <c r="G14" s="18">
        <f>(G12 / AVERAGE('V25'!G12,'V26'!G12,'V27'!G12,'V28'!G12,'V29'!G12,'V30'!G12,'V31'!G12)) * 100</f>
        <v>139.38896738220205</v>
      </c>
      <c r="H14" s="14">
        <f>IFERROR((G14*0.6)+(F14*0.4),"")</f>
        <v>137.19127028481574</v>
      </c>
    </row>
    <row r="15" spans="1:11">
      <c r="A15" s="1">
        <v>2</v>
      </c>
      <c r="C15" s="2" t="s">
        <v>24</v>
      </c>
      <c r="D15" s="2" t="s">
        <v>5</v>
      </c>
      <c r="E15" s="2" t="s">
        <v>6</v>
      </c>
      <c r="F15" s="2" t="s">
        <v>7</v>
      </c>
      <c r="G15" s="2" t="s">
        <v>8</v>
      </c>
      <c r="H15" s="2" t="s">
        <v>9</v>
      </c>
      <c r="I15" s="2" t="s">
        <v>10</v>
      </c>
      <c r="J15" s="2" t="s">
        <v>11</v>
      </c>
      <c r="K15" s="2" t="s">
        <v>12</v>
      </c>
    </row>
    <row r="16" spans="1:11">
      <c r="B16" s="6" t="s">
        <v>25</v>
      </c>
      <c r="C16" s="2" t="s">
        <v>26</v>
      </c>
      <c r="D16" s="5" t="s">
        <v>27</v>
      </c>
      <c r="E16" s="7">
        <v>170</v>
      </c>
      <c r="F16" s="7">
        <v>3393.2</v>
      </c>
      <c r="G16" s="7">
        <v>681.7</v>
      </c>
      <c r="H16" s="8">
        <f>IFERROR(G16/F16,"")</f>
        <v>0.20090180360721446</v>
      </c>
      <c r="I16" s="18">
        <f>IFERROR(((E16/$B$112) / AVERAGE('V25'!E16/'V25'!$B$112, 'V26'!E16/'V26'!$B$112, 'V27'!E16/'V27'!$B$112, 'V28'!E16/'V28'!$B$112, 'V29'!E16/'V29'!$B$112, 'V30'!E16/'V30'!$B$112, 'V31'!E16/'V31'!$B$112)) * 100,"")</f>
        <v>102.07753953475964</v>
      </c>
      <c r="J16" s="18">
        <f>IFERROR(((F16/$B$112) / AVERAGE('V25'!F16/'V25'!$B$112, 'V26'!F16/'V26'!$B$112, 'V27'!F16/'V27'!$B$112, 'V28'!F16/'V28'!$B$112, 'V29'!F16/'V29'!$B$112, 'V30'!F16/'V30'!$B$112, 'V31'!F16/'V31'!$B$112)) * 100,"")</f>
        <v>101.41869507940579</v>
      </c>
      <c r="K16" s="18">
        <f>IFERROR(((G16/$B$112) / AVERAGE('V25'!G16/'V25'!$B$112, 'V26'!G16/'V26'!$B$112, 'V27'!G16/'V27'!$B$112, 'V28'!G16/'V28'!$B$112, 'V29'!G16/'V29'!$B$112, 'V30'!G16/'V30'!$B$112, 'V31'!G16/'V31'!$B$112)) * 100,"")</f>
        <v>100.25954995594569</v>
      </c>
    </row>
    <row r="17" spans="1:11">
      <c r="C17" s="2" t="s">
        <v>28</v>
      </c>
    </row>
    <row r="18" spans="1:11">
      <c r="C18" s="2" t="s">
        <v>29</v>
      </c>
    </row>
    <row r="19" spans="1:11">
      <c r="C19" s="2" t="s">
        <v>30</v>
      </c>
    </row>
    <row r="20" spans="1:11">
      <c r="C20" s="9" t="s">
        <v>19</v>
      </c>
      <c r="D20" s="10"/>
      <c r="E20" s="11">
        <f>SUM(E16:E19)</f>
        <v>170</v>
      </c>
      <c r="F20" s="11">
        <f>SUM(F16:F19)</f>
        <v>3393.2</v>
      </c>
      <c r="G20" s="11">
        <f>SUM(G16:G19)</f>
        <v>681.7</v>
      </c>
      <c r="H20" s="12">
        <f>IFERROR(G20/F20,"")</f>
        <v>0.20090180360721446</v>
      </c>
    </row>
    <row r="21" spans="1:11">
      <c r="B21" s="5" t="s">
        <v>20</v>
      </c>
      <c r="E21" s="16">
        <f>IFERROR((E20-('V31'!E20))/('V31'!E20),"")</f>
        <v>7.5949367088607597E-2</v>
      </c>
      <c r="F21" s="16">
        <f>IFERROR((F20-('V31'!F20))/('V31'!F20),"")</f>
        <v>7.5949367088607597E-2</v>
      </c>
      <c r="G21" s="16">
        <f>IFERROR((G20-('V31'!G20))/('V31'!G20),"")</f>
        <v>0.13299428267517635</v>
      </c>
      <c r="H21" s="16">
        <f>IFERROR(H20-('V31'!H20),"")</f>
        <v>1.0115167042946682E-2</v>
      </c>
    </row>
    <row r="22" spans="1:11">
      <c r="B22" s="5" t="s">
        <v>21</v>
      </c>
      <c r="E22" s="13">
        <f>E20/$B$112</f>
        <v>9.0972333707925301E-3</v>
      </c>
      <c r="F22" s="13">
        <f>F20/$B$112</f>
        <v>0.18158077808101888</v>
      </c>
      <c r="G22" s="13">
        <f>G20/$B$112</f>
        <v>3.6479905816878044E-2</v>
      </c>
    </row>
    <row r="23" spans="1:11">
      <c r="B23" s="5" t="s">
        <v>22</v>
      </c>
      <c r="E23" s="8">
        <f>IFERROR((E22-'V31'!E22)/'V31'!E22,"")</f>
        <v>0.22755073079301738</v>
      </c>
      <c r="F23" s="8">
        <f>IFERROR((F22-'V31'!F22)/'V31'!F22,"")</f>
        <v>0.22755073079301741</v>
      </c>
      <c r="G23" s="8">
        <f>IFERROR((G22-'V31'!G22)/'V31'!G22,"")</f>
        <v>0.29263328017524259</v>
      </c>
    </row>
    <row r="24" spans="1:11">
      <c r="B24" s="5" t="s">
        <v>23</v>
      </c>
      <c r="E24" s="18">
        <f>(E22 / AVERAGE('V25'!E22,'V26'!E22,'V27'!E22,'V28'!E22,'V29'!E22,'V30'!E22,'V31'!E22)) * 100</f>
        <v>102.07753953475964</v>
      </c>
      <c r="F24" s="18">
        <f>(F22 / AVERAGE('V25'!F22,'V26'!F22,'V27'!F22,'V28'!F22,'V29'!F22,'V30'!F22,'V31'!F22)) * 100</f>
        <v>101.41869507940579</v>
      </c>
      <c r="G24" s="18">
        <f>(G22 / AVERAGE('V25'!G22,'V26'!G22,'V27'!G22,'V28'!G22,'V29'!G22,'V30'!G22,'V31'!G22)) * 100</f>
        <v>100.25954995594569</v>
      </c>
      <c r="H24" s="14">
        <f>IFERROR((G24*0.6)+(F24*0.4),"")</f>
        <v>100.72320800532972</v>
      </c>
    </row>
    <row r="25" spans="1:11">
      <c r="A25" s="1">
        <v>3</v>
      </c>
      <c r="C25" s="2" t="s">
        <v>31</v>
      </c>
      <c r="D25" s="2" t="s">
        <v>5</v>
      </c>
      <c r="E25" s="2" t="s">
        <v>6</v>
      </c>
      <c r="F25" s="2" t="s">
        <v>7</v>
      </c>
      <c r="G25" s="2" t="s">
        <v>8</v>
      </c>
      <c r="H25" s="2" t="s">
        <v>9</v>
      </c>
      <c r="I25" s="2" t="s">
        <v>10</v>
      </c>
      <c r="J25" s="2" t="s">
        <v>11</v>
      </c>
      <c r="K25" s="2" t="s">
        <v>12</v>
      </c>
    </row>
    <row r="26" spans="1:11">
      <c r="B26" s="6" t="s">
        <v>32</v>
      </c>
      <c r="C26" s="2" t="s">
        <v>33</v>
      </c>
      <c r="D26" s="5" t="s">
        <v>34</v>
      </c>
      <c r="E26" s="7">
        <v>604</v>
      </c>
      <c r="F26" s="7">
        <v>14274.76</v>
      </c>
      <c r="G26" s="7">
        <v>3074.74</v>
      </c>
      <c r="H26" s="8">
        <f>IFERROR(G26/F26,"")</f>
        <v>0.21539696639383077</v>
      </c>
      <c r="I26" s="18">
        <f>IFERROR(((E26/$B$112) / AVERAGE('V25'!E26/'V25'!$B$112, 'V26'!E26/'V26'!$B$112, 'V27'!E26/'V27'!$B$112, 'V28'!E26/'V28'!$B$112, 'V29'!E26/'V29'!$B$112, 'V30'!E26/'V30'!$B$112, 'V31'!E26/'V31'!$B$112)) * 100,"")</f>
        <v>108.89703315123003</v>
      </c>
      <c r="J26" s="18">
        <f>IFERROR(((F26/$B$112) / AVERAGE('V25'!F26/'V25'!$B$112, 'V26'!F26/'V26'!$B$112, 'V27'!F26/'V27'!$B$112, 'V28'!F26/'V28'!$B$112, 'V29'!F26/'V29'!$B$112, 'V30'!F26/'V30'!$B$112, 'V31'!F26/'V31'!$B$112)) * 100,"")</f>
        <v>108.93893950555096</v>
      </c>
      <c r="K26" s="18">
        <f>IFERROR(((G26/$B$112) / AVERAGE('V25'!G26/'V25'!$B$112, 'V26'!G26/'V26'!$B$112, 'V27'!G26/'V27'!$B$112, 'V28'!G26/'V28'!$B$112, 'V29'!G26/'V29'!$B$112, 'V30'!G26/'V30'!$B$112, 'V31'!G26/'V31'!$B$112)) * 100,"")</f>
        <v>106.05420772610765</v>
      </c>
    </row>
    <row r="27" spans="1:11">
      <c r="C27" s="2" t="s">
        <v>35</v>
      </c>
    </row>
    <row r="28" spans="1:11">
      <c r="C28" s="2" t="s">
        <v>36</v>
      </c>
    </row>
    <row r="29" spans="1:11">
      <c r="C29" s="2" t="s">
        <v>37</v>
      </c>
    </row>
    <row r="30" spans="1:11">
      <c r="C30" s="9" t="s">
        <v>19</v>
      </c>
      <c r="D30" s="10"/>
      <c r="E30" s="11">
        <f>SUM(E26:E29)</f>
        <v>604</v>
      </c>
      <c r="F30" s="11">
        <f>SUM(F26:F29)</f>
        <v>14274.76</v>
      </c>
      <c r="G30" s="11">
        <f>SUM(G26:G29)</f>
        <v>3074.74</v>
      </c>
      <c r="H30" s="12">
        <f>IFERROR(G30/F30,"")</f>
        <v>0.21539696639383077</v>
      </c>
    </row>
    <row r="31" spans="1:11">
      <c r="B31" s="5" t="s">
        <v>20</v>
      </c>
      <c r="E31" s="16">
        <f>IFERROR((E30-('V31'!E30))/('V31'!E30),"")</f>
        <v>-0.15168539325842698</v>
      </c>
      <c r="F31" s="16">
        <f>IFERROR((F30-('V31'!F30))/('V31'!F30),"")</f>
        <v>-0.15119910379389168</v>
      </c>
      <c r="G31" s="16">
        <f>IFERROR((G30-('V31'!G30))/('V31'!G30),"")</f>
        <v>-0.17850081756099656</v>
      </c>
      <c r="H31" s="16">
        <f>IFERROR(H30-('V31'!H30),"")</f>
        <v>-7.1585053868556126E-3</v>
      </c>
    </row>
    <row r="32" spans="1:11">
      <c r="B32" s="5" t="s">
        <v>21</v>
      </c>
      <c r="E32" s="13">
        <f>E30/$B$112</f>
        <v>3.2321935035051104E-2</v>
      </c>
      <c r="F32" s="13">
        <f>F30/$B$112</f>
        <v>0.76388719430620222</v>
      </c>
      <c r="G32" s="13">
        <f>G30/$B$112</f>
        <v>0.1645389843206507</v>
      </c>
    </row>
    <row r="33" spans="1:11">
      <c r="B33" s="5" t="s">
        <v>22</v>
      </c>
      <c r="E33" s="8">
        <f>IFERROR((E32-'V31'!E32)/'V31'!E32,"")</f>
        <v>-3.215778799537989E-2</v>
      </c>
      <c r="F33" s="8">
        <f>IFERROR((F32-'V31'!F32)/'V31'!F32,"")</f>
        <v>-3.1602980301052581E-2</v>
      </c>
      <c r="G33" s="8">
        <f>IFERROR((G32-'V31'!G32)/'V31'!G32,"")</f>
        <v>-6.275150802164324E-2</v>
      </c>
    </row>
    <row r="34" spans="1:11">
      <c r="B34" s="5" t="s">
        <v>23</v>
      </c>
      <c r="E34" s="18">
        <f>(E32 / AVERAGE('V25'!E32,'V26'!E32,'V27'!E32,'V28'!E32,'V29'!E32,'V30'!E32,'V31'!E32)) * 100</f>
        <v>108.89703315123003</v>
      </c>
      <c r="F34" s="18">
        <f>(F32 / AVERAGE('V25'!F32,'V26'!F32,'V27'!F32,'V28'!F32,'V29'!F32,'V30'!F32,'V31'!F32)) * 100</f>
        <v>108.93893950555096</v>
      </c>
      <c r="G34" s="18">
        <f>(G32 / AVERAGE('V25'!G32,'V26'!G32,'V27'!G32,'V28'!G32,'V29'!G32,'V30'!G32,'V31'!G32)) * 100</f>
        <v>106.05420772610765</v>
      </c>
      <c r="H34" s="14">
        <f>IFERROR((G34*0.6)+(F34*0.4),"")</f>
        <v>107.20810043788498</v>
      </c>
    </row>
    <row r="35" spans="1:11">
      <c r="A35" s="1">
        <v>4</v>
      </c>
      <c r="C35" s="2" t="s">
        <v>38</v>
      </c>
      <c r="D35" s="2" t="s">
        <v>5</v>
      </c>
      <c r="E35" s="2" t="s">
        <v>6</v>
      </c>
      <c r="F35" s="2" t="s">
        <v>7</v>
      </c>
      <c r="G35" s="2" t="s">
        <v>8</v>
      </c>
      <c r="H35" s="2" t="s">
        <v>9</v>
      </c>
      <c r="I35" s="2" t="s">
        <v>10</v>
      </c>
      <c r="J35" s="2" t="s">
        <v>11</v>
      </c>
      <c r="K35" s="2" t="s">
        <v>12</v>
      </c>
    </row>
    <row r="36" spans="1:11">
      <c r="B36" s="6" t="s">
        <v>39</v>
      </c>
      <c r="C36" s="2" t="s">
        <v>40</v>
      </c>
      <c r="D36" s="5" t="s">
        <v>41</v>
      </c>
      <c r="E36" s="7">
        <v>458</v>
      </c>
      <c r="F36" s="7">
        <v>10820</v>
      </c>
      <c r="G36" s="7">
        <v>2414.3000000000002</v>
      </c>
      <c r="H36" s="8">
        <f>IFERROR(G36/F36,"")</f>
        <v>0.2231330868761553</v>
      </c>
      <c r="I36" s="18">
        <f>IFERROR(((E36/$B$112) / AVERAGE('V25'!E36/'V25'!$B$112, 'V26'!E36/'V26'!$B$112, 'V27'!E36/'V27'!$B$112, 'V28'!E36/'V28'!$B$112, 'V29'!E36/'V29'!$B$112, 'V30'!E36/'V30'!$B$112, 'V31'!E36/'V31'!$B$112)) * 100,"")</f>
        <v>92.188871271085105</v>
      </c>
      <c r="J36" s="18">
        <f>IFERROR(((F36/$B$112) / AVERAGE('V25'!F36/'V25'!$B$112, 'V26'!F36/'V26'!$B$112, 'V27'!F36/'V27'!$B$112, 'V28'!F36/'V28'!$B$112, 'V29'!F36/'V29'!$B$112, 'V30'!F36/'V30'!$B$112, 'V31'!F36/'V31'!$B$112)) * 100,"")</f>
        <v>92.19742153921537</v>
      </c>
      <c r="K36" s="18">
        <f>IFERROR(((G36/$B$112) / AVERAGE('V25'!G36/'V25'!$B$112, 'V26'!G36/'V26'!$B$112, 'V27'!G36/'V27'!$B$112, 'V28'!G36/'V28'!$B$112, 'V29'!G36/'V29'!$B$112, 'V30'!G36/'V30'!$B$112, 'V31'!G36/'V31'!$B$112)) * 100,"")</f>
        <v>92.079736038835279</v>
      </c>
    </row>
    <row r="37" spans="1:11">
      <c r="C37" s="2" t="s">
        <v>42</v>
      </c>
    </row>
    <row r="38" spans="1:11">
      <c r="C38" s="2" t="s">
        <v>43</v>
      </c>
    </row>
    <row r="39" spans="1:11">
      <c r="C39" s="2" t="s">
        <v>44</v>
      </c>
    </row>
    <row r="40" spans="1:11">
      <c r="C40" s="9" t="s">
        <v>19</v>
      </c>
      <c r="D40" s="10"/>
      <c r="E40" s="11">
        <f>SUM(E36:E39)</f>
        <v>458</v>
      </c>
      <c r="F40" s="11">
        <f>SUM(F36:F39)</f>
        <v>10820</v>
      </c>
      <c r="G40" s="11">
        <f>SUM(G36:G39)</f>
        <v>2414.3000000000002</v>
      </c>
      <c r="H40" s="12">
        <f>IFERROR(G40/F40,"")</f>
        <v>0.2231330868761553</v>
      </c>
    </row>
    <row r="41" spans="1:11">
      <c r="B41" s="5" t="s">
        <v>20</v>
      </c>
      <c r="E41" s="16">
        <f>IFERROR((E40-('V31'!E40))/('V31'!E40),"")</f>
        <v>-8.0321285140562249E-2</v>
      </c>
      <c r="F41" s="16">
        <f>IFERROR((F40-('V31'!F40))/('V31'!F40),"")</f>
        <v>-8.0110318747725826E-2</v>
      </c>
      <c r="G41" s="16">
        <f>IFERROR((G40-('V31'!G40))/('V31'!G40),"")</f>
        <v>-8.1085813027624881E-2</v>
      </c>
      <c r="H41" s="16">
        <f>IFERROR(H40-('V31'!H40),"")</f>
        <v>-2.3687200936689523E-4</v>
      </c>
    </row>
    <row r="42" spans="1:11">
      <c r="B42" s="5" t="s">
        <v>21</v>
      </c>
      <c r="E42" s="13">
        <f>E40/$B$112</f>
        <v>2.450901696366458E-2</v>
      </c>
      <c r="F42" s="13">
        <f>F40/$B$112</f>
        <v>0.57901214748220686</v>
      </c>
      <c r="G42" s="13">
        <f>G40/$B$112</f>
        <v>0.1291967678064965</v>
      </c>
    </row>
    <row r="43" spans="1:11">
      <c r="B43" s="5" t="s">
        <v>22</v>
      </c>
      <c r="E43" s="8">
        <f>IFERROR((E42-'V31'!E42)/'V31'!E42,"")</f>
        <v>4.9261529448451497E-2</v>
      </c>
      <c r="F43" s="8">
        <f>IFERROR((F42-'V31'!F42)/'V31'!F42,"")</f>
        <v>4.9502221025230719E-2</v>
      </c>
      <c r="G43" s="8">
        <f>IFERROR((G42-'V31'!G42)/'V31'!G42,"")</f>
        <v>4.8389279512550828E-2</v>
      </c>
    </row>
    <row r="44" spans="1:11">
      <c r="B44" s="5" t="s">
        <v>23</v>
      </c>
      <c r="E44" s="18">
        <f>(E42 / AVERAGE('V25'!E42,'V26'!E42,'V27'!E42,'V28'!E42,'V29'!E42,'V30'!E42,'V31'!E42)) * 100</f>
        <v>92.188871271085105</v>
      </c>
      <c r="F44" s="18">
        <f>(F42 / AVERAGE('V25'!F42,'V26'!F42,'V27'!F42,'V28'!F42,'V29'!F42,'V30'!F42,'V31'!F42)) * 100</f>
        <v>92.19742153921537</v>
      </c>
      <c r="G44" s="18">
        <f>(G42 / AVERAGE('V25'!G42,'V26'!G42,'V27'!G42,'V28'!G42,'V29'!G42,'V30'!G42,'V31'!G42)) * 100</f>
        <v>92.079736038835279</v>
      </c>
      <c r="H44" s="14">
        <f>IFERROR((G44*0.6)+(F44*0.4),"")</f>
        <v>92.126810238987304</v>
      </c>
    </row>
    <row r="45" spans="1:11">
      <c r="A45" s="1">
        <v>5</v>
      </c>
      <c r="C45" s="2" t="s">
        <v>45</v>
      </c>
      <c r="D45" s="2" t="s">
        <v>5</v>
      </c>
      <c r="E45" s="2" t="s">
        <v>6</v>
      </c>
      <c r="F45" s="2" t="s">
        <v>7</v>
      </c>
      <c r="G45" s="2" t="s">
        <v>8</v>
      </c>
      <c r="H45" s="2" t="s">
        <v>9</v>
      </c>
      <c r="I45" s="2" t="s">
        <v>10</v>
      </c>
      <c r="J45" s="2" t="s">
        <v>11</v>
      </c>
      <c r="K45" s="2" t="s">
        <v>12</v>
      </c>
    </row>
    <row r="46" spans="1:11">
      <c r="B46" s="6" t="s">
        <v>46</v>
      </c>
      <c r="C46" s="2" t="s">
        <v>47</v>
      </c>
      <c r="D46" s="5" t="s">
        <v>48</v>
      </c>
      <c r="E46" s="7">
        <v>182</v>
      </c>
      <c r="F46" s="7">
        <v>14374.8</v>
      </c>
      <c r="G46" s="7">
        <v>1634.8</v>
      </c>
      <c r="H46" s="8">
        <f>IFERROR(G46/F46,"")</f>
        <v>0.1137267996772129</v>
      </c>
      <c r="I46" s="18">
        <f>IFERROR(((E46/$B$112) / AVERAGE('V25'!E46/'V25'!$B$112, 'V26'!E46/'V26'!$B$112, 'V27'!E46/'V27'!$B$112, 'V28'!E46/'V28'!$B$112, 'V29'!E46/'V29'!$B$112, 'V30'!E46/'V30'!$B$112, 'V31'!E46/'V31'!$B$112)) * 100,"")</f>
        <v>86.242284276402444</v>
      </c>
      <c r="J46" s="18">
        <f>IFERROR(((F46/$B$112) / AVERAGE('V25'!F46/'V25'!$B$112, 'V26'!F46/'V26'!$B$112, 'V27'!F46/'V27'!$B$112, 'V28'!F46/'V28'!$B$112, 'V29'!F46/'V29'!$B$112, 'V30'!F46/'V30'!$B$112, 'V31'!F46/'V31'!$B$112)) * 100,"")</f>
        <v>89.95023695734001</v>
      </c>
      <c r="K46" s="18">
        <f>IFERROR(((G46/$B$112) / AVERAGE('V25'!G46/'V25'!$B$112, 'V26'!G46/'V26'!$B$112, 'V27'!G46/'V27'!$B$112, 'V28'!G46/'V28'!$B$112, 'V29'!G46/'V29'!$B$112, 'V30'!G46/'V30'!$B$112, 'V31'!G46/'V31'!$B$112)) * 100,"")</f>
        <v>177.22145365851947</v>
      </c>
    </row>
    <row r="47" spans="1:11">
      <c r="C47" s="2" t="s">
        <v>49</v>
      </c>
    </row>
    <row r="48" spans="1:11">
      <c r="C48" s="2" t="s">
        <v>50</v>
      </c>
    </row>
    <row r="49" spans="1:11">
      <c r="C49" s="2" t="s">
        <v>51</v>
      </c>
    </row>
    <row r="50" spans="1:11">
      <c r="C50" s="9" t="s">
        <v>19</v>
      </c>
      <c r="D50" s="10"/>
      <c r="E50" s="11">
        <f>SUM(E46:E49)</f>
        <v>182</v>
      </c>
      <c r="F50" s="11">
        <f>SUM(F46:F49)</f>
        <v>14374.8</v>
      </c>
      <c r="G50" s="11">
        <f>SUM(G46:G49)</f>
        <v>1634.8</v>
      </c>
      <c r="H50" s="12">
        <f>IFERROR(G50/F50,"")</f>
        <v>0.1137267996772129</v>
      </c>
    </row>
    <row r="51" spans="1:11">
      <c r="B51" s="5" t="s">
        <v>20</v>
      </c>
      <c r="E51" s="16">
        <f>IFERROR((E50-('V31'!E50))/('V31'!E50),"")</f>
        <v>-0.15348837209302327</v>
      </c>
      <c r="F51" s="16">
        <f>IFERROR((F50-('V31'!F50))/('V31'!F50),"")</f>
        <v>-0.15384615384615397</v>
      </c>
      <c r="G51" s="16">
        <f>IFERROR((G50-('V31'!G50))/('V31'!G50),"")</f>
        <v>-0.12502676086491121</v>
      </c>
      <c r="H51" s="16">
        <f>IFERROR(H50-('V31'!H50),"")</f>
        <v>3.7458715144665644E-3</v>
      </c>
    </row>
    <row r="52" spans="1:11">
      <c r="B52" s="5" t="s">
        <v>21</v>
      </c>
      <c r="E52" s="13">
        <f>E50/$B$112</f>
        <v>9.7393910204955324E-3</v>
      </c>
      <c r="F52" s="13">
        <f>F50/$B$112</f>
        <v>0.76924064857922614</v>
      </c>
      <c r="G52" s="13">
        <f>G50/$B$112</f>
        <v>8.7483277144538976E-2</v>
      </c>
    </row>
    <row r="53" spans="1:11">
      <c r="B53" s="5" t="s">
        <v>22</v>
      </c>
      <c r="E53" s="8">
        <f>IFERROR((E52-'V31'!E52)/'V31'!E52,"")</f>
        <v>-3.4214806711791848E-2</v>
      </c>
      <c r="F53" s="8">
        <f>IFERROR((F52-'V31'!F52)/'V31'!F52,"")</f>
        <v>-3.4622999946486988E-2</v>
      </c>
      <c r="G53" s="8">
        <f>IFERROR((G52-'V31'!G52)/'V31'!G52,"")</f>
        <v>-1.7429518724197189E-3</v>
      </c>
    </row>
    <row r="54" spans="1:11">
      <c r="B54" s="5" t="s">
        <v>23</v>
      </c>
      <c r="E54" s="18">
        <f>(E52 / AVERAGE('V25'!E52,'V26'!E52,'V27'!E52,'V28'!E52,'V29'!E52,'V30'!E52,'V31'!E52)) * 100</f>
        <v>86.242284276402444</v>
      </c>
      <c r="F54" s="18">
        <f>(F52 / AVERAGE('V25'!F52,'V26'!F52,'V27'!F52,'V28'!F52,'V29'!F52,'V30'!F52,'V31'!F52)) * 100</f>
        <v>89.95023695734001</v>
      </c>
      <c r="G54" s="18">
        <f>(G52 / AVERAGE('V25'!G52,'V26'!G52,'V27'!G52,'V28'!G52,'V29'!G52,'V30'!G52,'V31'!G52)) * 100</f>
        <v>177.22145365851947</v>
      </c>
      <c r="H54" s="14">
        <f>IFERROR((G54*0.6)+(F54*0.4),"")</f>
        <v>142.31296697804768</v>
      </c>
    </row>
    <row r="55" spans="1:11">
      <c r="A55" s="1">
        <v>6</v>
      </c>
      <c r="C55" s="2" t="s">
        <v>52</v>
      </c>
      <c r="D55" s="2" t="s">
        <v>5</v>
      </c>
      <c r="E55" s="2" t="s">
        <v>6</v>
      </c>
      <c r="F55" s="2" t="s">
        <v>7</v>
      </c>
      <c r="G55" s="2" t="s">
        <v>8</v>
      </c>
      <c r="H55" s="2" t="s">
        <v>9</v>
      </c>
      <c r="I55" s="2" t="s">
        <v>10</v>
      </c>
      <c r="J55" s="2" t="s">
        <v>11</v>
      </c>
      <c r="K55" s="2" t="s">
        <v>12</v>
      </c>
    </row>
    <row r="56" spans="1:11">
      <c r="B56" s="6" t="s">
        <v>53</v>
      </c>
      <c r="C56" s="2" t="s">
        <v>54</v>
      </c>
      <c r="D56" s="5" t="s">
        <v>55</v>
      </c>
      <c r="E56" s="7">
        <v>216</v>
      </c>
      <c r="F56" s="7">
        <v>8804.16</v>
      </c>
      <c r="G56" s="7">
        <v>1892.16</v>
      </c>
      <c r="H56" s="8">
        <f>IFERROR(G56/F56,"")</f>
        <v>0.21491658488714427</v>
      </c>
      <c r="I56" s="18">
        <f>IFERROR(((E56/$B$112) / AVERAGE('V25'!E56/'V25'!$B$112, 'V26'!E56/'V26'!$B$112, 'V27'!E56/'V27'!$B$112, 'V28'!E56/'V28'!$B$112, 'V29'!E56/'V29'!$B$112, 'V30'!E56/'V30'!$B$112, 'V31'!E56/'V31'!$B$112)) * 100,"")</f>
        <v>123.1364019512785</v>
      </c>
      <c r="J56" s="18">
        <f>IFERROR(((F56/$B$112) / AVERAGE('V25'!F56/'V25'!$B$112, 'V26'!F56/'V26'!$B$112, 'V27'!F56/'V27'!$B$112, 'V28'!F56/'V28'!$B$112, 'V29'!F56/'V29'!$B$112, 'V30'!F56/'V30'!$B$112, 'V31'!F56/'V31'!$B$112)) * 100,"")</f>
        <v>123.14545807495543</v>
      </c>
      <c r="K56" s="18">
        <f>IFERROR(((G56/$B$112) / AVERAGE('V25'!G56/'V25'!$B$112, 'V26'!G56/'V26'!$B$112, 'V27'!G56/'V27'!$B$112, 'V28'!G56/'V28'!$B$112, 'V29'!G56/'V29'!$B$112, 'V30'!G56/'V30'!$B$112, 'V31'!G56/'V31'!$B$112)) * 100,"")</f>
        <v>123.17855112904755</v>
      </c>
    </row>
    <row r="57" spans="1:11">
      <c r="C57" s="2" t="s">
        <v>56</v>
      </c>
    </row>
    <row r="58" spans="1:11">
      <c r="C58" s="2" t="s">
        <v>57</v>
      </c>
    </row>
    <row r="59" spans="1:11">
      <c r="C59" s="2" t="s">
        <v>58</v>
      </c>
    </row>
    <row r="60" spans="1:11">
      <c r="C60" s="9" t="s">
        <v>19</v>
      </c>
      <c r="D60" s="10"/>
      <c r="E60" s="11">
        <f>SUM(E56:E59)</f>
        <v>216</v>
      </c>
      <c r="F60" s="11">
        <f>SUM(F56:F59)</f>
        <v>8804.16</v>
      </c>
      <c r="G60" s="11">
        <f>SUM(G56:G59)</f>
        <v>1892.16</v>
      </c>
      <c r="H60" s="12">
        <f>IFERROR(G60/F60,"")</f>
        <v>0.21491658488714427</v>
      </c>
    </row>
    <row r="61" spans="1:11">
      <c r="B61" s="5" t="s">
        <v>20</v>
      </c>
      <c r="E61" s="16">
        <f>IFERROR((E60-('V31'!E60))/('V31'!E60),"")</f>
        <v>0.1076923076923077</v>
      </c>
      <c r="F61" s="16">
        <f>IFERROR((F60-('V31'!F60))/('V31'!F60),"")</f>
        <v>0.1076923076923077</v>
      </c>
      <c r="G61" s="16">
        <f>IFERROR((G60-('V31'!G60))/('V31'!G60),"")</f>
        <v>0.10769230769230771</v>
      </c>
      <c r="H61" s="16">
        <f>IFERROR(H60-('V31'!H60),"")</f>
        <v>0</v>
      </c>
    </row>
    <row r="62" spans="1:11">
      <c r="B62" s="5" t="s">
        <v>21</v>
      </c>
      <c r="E62" s="13">
        <f>E60/$B$112</f>
        <v>1.1558837694654038E-2</v>
      </c>
      <c r="F62" s="13">
        <f>F60/$B$112</f>
        <v>0.47113822443409858</v>
      </c>
      <c r="G62" s="13">
        <f>G60/$B$112</f>
        <v>0.10125541820516937</v>
      </c>
    </row>
    <row r="63" spans="1:11">
      <c r="B63" s="5" t="s">
        <v>22</v>
      </c>
      <c r="E63" s="8">
        <f>IFERROR((E62-'V31'!E62)/'V31'!E62,"")</f>
        <v>0.26376625461550823</v>
      </c>
      <c r="F63" s="8">
        <f>IFERROR((F62-'V31'!F62)/'V31'!F62,"")</f>
        <v>0.26376625461550818</v>
      </c>
      <c r="G63" s="8">
        <f>IFERROR((G62-'V31'!G62)/'V31'!G62,"")</f>
        <v>0.26376625461550807</v>
      </c>
    </row>
    <row r="64" spans="1:11">
      <c r="B64" s="5" t="s">
        <v>23</v>
      </c>
      <c r="E64" s="18">
        <f>(E62 / AVERAGE('V25'!E62,'V26'!E62,'V27'!E62,'V28'!E62,'V29'!E62,'V30'!E62,'V31'!E62)) * 100</f>
        <v>123.1364019512785</v>
      </c>
      <c r="F64" s="18">
        <f>(F62 / AVERAGE('V25'!F62,'V26'!F62,'V27'!F62,'V28'!F62,'V29'!F62,'V30'!F62,'V31'!F62)) * 100</f>
        <v>123.14545807495543</v>
      </c>
      <c r="G64" s="18">
        <f>(G62 / AVERAGE('V25'!G62,'V26'!G62,'V27'!G62,'V28'!G62,'V29'!G62,'V30'!G62,'V31'!G62)) * 100</f>
        <v>123.17855112904755</v>
      </c>
      <c r="H64" s="14">
        <f>IFERROR((G64*0.6)+(F64*0.4),"")</f>
        <v>123.16531390741071</v>
      </c>
    </row>
    <row r="65" spans="1:11">
      <c r="A65" s="1">
        <v>7</v>
      </c>
      <c r="C65" s="2" t="s">
        <v>59</v>
      </c>
      <c r="D65" s="2" t="s">
        <v>5</v>
      </c>
      <c r="E65" s="2" t="s">
        <v>6</v>
      </c>
      <c r="F65" s="2" t="s">
        <v>7</v>
      </c>
      <c r="G65" s="2" t="s">
        <v>8</v>
      </c>
      <c r="H65" s="2" t="s">
        <v>9</v>
      </c>
      <c r="I65" s="2" t="s">
        <v>10</v>
      </c>
      <c r="J65" s="2" t="s">
        <v>11</v>
      </c>
      <c r="K65" s="2" t="s">
        <v>12</v>
      </c>
    </row>
    <row r="66" spans="1:11">
      <c r="B66" s="6" t="s">
        <v>60</v>
      </c>
      <c r="C66" s="2" t="s">
        <v>61</v>
      </c>
      <c r="D66" s="5" t="s">
        <v>62</v>
      </c>
      <c r="E66" s="7">
        <v>150</v>
      </c>
      <c r="F66" s="7">
        <v>3114</v>
      </c>
      <c r="G66" s="7">
        <v>721.5</v>
      </c>
      <c r="H66" s="8">
        <f>IFERROR(G66/F66,"")</f>
        <v>0.23169556840077071</v>
      </c>
      <c r="I66" s="18">
        <f>IFERROR(((E66/$B$112) / AVERAGE('V25'!E66/'V25'!$B$112, 'V26'!E66/'V26'!$B$112, 'V27'!E66/'V27'!$B$112, 'V28'!E66/'V28'!$B$112, 'V29'!E66/'V29'!$B$112, 'V30'!E66/'V30'!$B$112, 'V31'!E66/'V31'!$B$112)) * 100,"")</f>
        <v>129.64609476867565</v>
      </c>
      <c r="J66" s="18">
        <f>IFERROR(((F66/$B$112) / AVERAGE('V25'!F66/'V25'!$B$112, 'V26'!F66/'V26'!$B$112, 'V27'!F66/'V27'!$B$112, 'V28'!F66/'V28'!$B$112, 'V29'!F66/'V29'!$B$112, 'V30'!F66/'V30'!$B$112, 'V31'!F66/'V31'!$B$112)) * 100,"")</f>
        <v>129.7228458065097</v>
      </c>
      <c r="K66" s="18">
        <f>IFERROR(((G66/$B$112) / AVERAGE('V25'!G66/'V25'!$B$112, 'V26'!G66/'V26'!$B$112, 'V27'!G66/'V27'!$B$112, 'V28'!G66/'V28'!$B$112, 'V29'!G66/'V29'!$B$112, 'V30'!G66/'V30'!$B$112, 'V31'!G66/'V31'!$B$112)) * 100,"")</f>
        <v>129.9780044551427</v>
      </c>
    </row>
    <row r="67" spans="1:11">
      <c r="C67" s="2" t="s">
        <v>63</v>
      </c>
    </row>
    <row r="68" spans="1:11">
      <c r="C68" s="2" t="s">
        <v>64</v>
      </c>
    </row>
    <row r="69" spans="1:11">
      <c r="C69" s="2" t="s">
        <v>65</v>
      </c>
    </row>
    <row r="70" spans="1:11">
      <c r="C70" s="9" t="s">
        <v>19</v>
      </c>
      <c r="D70" s="10"/>
      <c r="E70" s="11">
        <f>SUM(E66:E69)</f>
        <v>150</v>
      </c>
      <c r="F70" s="11">
        <f>SUM(F66:F69)</f>
        <v>3114</v>
      </c>
      <c r="G70" s="11">
        <f>SUM(G66:G69)</f>
        <v>721.5</v>
      </c>
      <c r="H70" s="12">
        <f>IFERROR(G70/F70,"")</f>
        <v>0.23169556840077071</v>
      </c>
    </row>
    <row r="71" spans="1:11">
      <c r="B71" s="5" t="s">
        <v>20</v>
      </c>
      <c r="E71" s="16">
        <f>IFERROR((E70-('V31'!E70))/('V31'!E70),"")</f>
        <v>-1.3157894736842105E-2</v>
      </c>
      <c r="F71" s="16">
        <f>IFERROR((F70-('V31'!F70))/('V31'!F70),"")</f>
        <v>-1.3157894736842099E-2</v>
      </c>
      <c r="G71" s="16">
        <f>IFERROR((G70-('V31'!G70))/('V31'!G70),"")</f>
        <v>-1.3157894736842111E-2</v>
      </c>
      <c r="H71" s="16">
        <f>IFERROR(H70-('V31'!H70),"")</f>
        <v>0</v>
      </c>
    </row>
    <row r="72" spans="1:11">
      <c r="B72" s="5" t="s">
        <v>21</v>
      </c>
      <c r="E72" s="13">
        <f>E70/$B$112</f>
        <v>8.0269706212875262E-3</v>
      </c>
      <c r="F72" s="13">
        <f>F70/$B$112</f>
        <v>0.16663991009792903</v>
      </c>
      <c r="G72" s="13">
        <f>G70/$B$112</f>
        <v>3.8609728688392998E-2</v>
      </c>
    </row>
    <row r="73" spans="1:11">
      <c r="B73" s="5" t="s">
        <v>22</v>
      </c>
      <c r="E73" s="8">
        <f>IFERROR((E72-'V31'!E72)/'V31'!E72,"")</f>
        <v>0.12588824767006618</v>
      </c>
      <c r="F73" s="8">
        <f>IFERROR((F72-'V31'!F72)/'V31'!F72,"")</f>
        <v>0.12588824767006598</v>
      </c>
      <c r="G73" s="8">
        <f>IFERROR((G72-'V31'!G72)/'V31'!G72,"")</f>
        <v>0.12588824767006601</v>
      </c>
    </row>
    <row r="74" spans="1:11">
      <c r="B74" s="5" t="s">
        <v>23</v>
      </c>
      <c r="E74" s="18">
        <f>(E72 / AVERAGE('V25'!E72,'V26'!E72,'V27'!E72,'V28'!E72,'V29'!E72,'V30'!E72,'V31'!E72)) * 100</f>
        <v>129.64609476867565</v>
      </c>
      <c r="F74" s="18">
        <f>(F72 / AVERAGE('V25'!F72,'V26'!F72,'V27'!F72,'V28'!F72,'V29'!F72,'V30'!F72,'V31'!F72)) * 100</f>
        <v>129.7228458065097</v>
      </c>
      <c r="G74" s="18">
        <f>(G72 / AVERAGE('V25'!G72,'V26'!G72,'V27'!G72,'V28'!G72,'V29'!G72,'V30'!G72,'V31'!G72)) * 100</f>
        <v>129.9780044551427</v>
      </c>
      <c r="H74" s="14">
        <f>IFERROR((G74*0.6)+(F74*0.4),"")</f>
        <v>129.87594099568952</v>
      </c>
    </row>
    <row r="75" spans="1:11">
      <c r="A75" s="1">
        <v>8</v>
      </c>
      <c r="C75" s="2" t="s">
        <v>66</v>
      </c>
      <c r="D75" s="2" t="s">
        <v>5</v>
      </c>
      <c r="E75" s="2" t="s">
        <v>6</v>
      </c>
      <c r="F75" s="2" t="s">
        <v>7</v>
      </c>
      <c r="G75" s="2" t="s">
        <v>8</v>
      </c>
      <c r="H75" s="2" t="s">
        <v>9</v>
      </c>
      <c r="I75" s="2" t="s">
        <v>10</v>
      </c>
      <c r="J75" s="2" t="s">
        <v>11</v>
      </c>
      <c r="K75" s="2" t="s">
        <v>12</v>
      </c>
    </row>
    <row r="76" spans="1:11">
      <c r="B76" s="6" t="s">
        <v>67</v>
      </c>
      <c r="C76" s="2" t="s">
        <v>68</v>
      </c>
      <c r="D76" s="5" t="s">
        <v>69</v>
      </c>
      <c r="E76" s="7">
        <v>31</v>
      </c>
      <c r="F76" s="7">
        <v>987.56</v>
      </c>
      <c r="G76" s="7">
        <v>212.56</v>
      </c>
      <c r="H76" s="8">
        <f>IFERROR(G76/F76,"")</f>
        <v>0.21523755518652032</v>
      </c>
      <c r="I76" s="18">
        <f>IFERROR(((E76/$B$112) / AVERAGE('V25'!E76/'V25'!$B$112, 'V26'!E76/'V26'!$B$112, 'V27'!E76/'V27'!$B$112, 'V28'!E76/'V28'!$B$112, 'V29'!E76/'V29'!$B$112, 'V30'!E76/'V30'!$B$112, 'V31'!E76/'V31'!$B$112)) * 100,"")</f>
        <v>64.385016706615545</v>
      </c>
      <c r="J76" s="18">
        <f>IFERROR(((F76/$B$112) / AVERAGE('V25'!F76/'V25'!$B$112, 'V26'!F76/'V26'!$B$112, 'V27'!F76/'V27'!$B$112, 'V28'!F76/'V28'!$B$112, 'V29'!F76/'V29'!$B$112, 'V30'!F76/'V30'!$B$112, 'V31'!F76/'V31'!$B$112)) * 100,"")</f>
        <v>64.251334869498464</v>
      </c>
      <c r="K76" s="18">
        <f>IFERROR(((G76/$B$112) / AVERAGE('V25'!G76/'V25'!$B$112, 'V26'!G76/'V26'!$B$112, 'V27'!G76/'V27'!$B$112, 'V28'!G76/'V28'!$B$112, 'V29'!G76/'V29'!$B$112, 'V30'!G76/'V30'!$B$112, 'V31'!G76/'V31'!$B$112)) * 100,"")</f>
        <v>63.768593418822583</v>
      </c>
    </row>
    <row r="77" spans="1:11">
      <c r="C77" s="2" t="s">
        <v>70</v>
      </c>
    </row>
    <row r="78" spans="1:11">
      <c r="C78" s="2" t="s">
        <v>71</v>
      </c>
    </row>
    <row r="79" spans="1:11">
      <c r="C79" s="2" t="s">
        <v>72</v>
      </c>
    </row>
    <row r="80" spans="1:11">
      <c r="C80" s="9" t="s">
        <v>19</v>
      </c>
      <c r="D80" s="10"/>
      <c r="E80" s="11">
        <f>SUM(E76:E79)</f>
        <v>31</v>
      </c>
      <c r="F80" s="11">
        <f>SUM(F76:F79)</f>
        <v>987.56</v>
      </c>
      <c r="G80" s="11">
        <f>SUM(G76:G79)</f>
        <v>212.56</v>
      </c>
      <c r="H80" s="12">
        <f>IFERROR(G80/F80,"")</f>
        <v>0.21523755518652032</v>
      </c>
    </row>
    <row r="81" spans="1:11">
      <c r="B81" s="5" t="s">
        <v>20</v>
      </c>
      <c r="E81" s="16">
        <f>IFERROR((E80-('V31'!E80))/('V31'!E80),"")</f>
        <v>-0.39215686274509803</v>
      </c>
      <c r="F81" s="16">
        <f>IFERROR((F80-('V31'!F80))/('V31'!F80),"")</f>
        <v>-0.39353222220857548</v>
      </c>
      <c r="G81" s="16">
        <f>IFERROR((G80-('V31'!G80))/('V31'!G80),"")</f>
        <v>-0.39849453845718491</v>
      </c>
      <c r="H81" s="16">
        <f>IFERROR(H80-('V31'!H80),"")</f>
        <v>-1.7756726841240966E-3</v>
      </c>
    </row>
    <row r="82" spans="1:11">
      <c r="B82" s="5" t="s">
        <v>21</v>
      </c>
      <c r="E82" s="13">
        <f>E80/$B$112</f>
        <v>1.6589072617327553E-3</v>
      </c>
      <c r="F82" s="13">
        <f>F80/$B$112</f>
        <v>5.284743404505806E-2</v>
      </c>
      <c r="G82" s="13">
        <f>G80/$B$112</f>
        <v>1.1374752501739176E-2</v>
      </c>
    </row>
    <row r="83" spans="1:11">
      <c r="B83" s="5" t="s">
        <v>22</v>
      </c>
      <c r="E83" s="8">
        <f>IFERROR((E82-'V31'!E82)/'V31'!E82,"")</f>
        <v>-0.30651170940897365</v>
      </c>
      <c r="F83" s="8">
        <f>IFERROR((F82-'V31'!F82)/'V31'!F82,"")</f>
        <v>-0.30808085714597461</v>
      </c>
      <c r="G83" s="8">
        <f>IFERROR((G82-'V31'!G82)/'V31'!G82,"")</f>
        <v>-0.31374236420544666</v>
      </c>
    </row>
    <row r="84" spans="1:11">
      <c r="B84" s="5" t="s">
        <v>23</v>
      </c>
      <c r="E84" s="18">
        <f>(E82 / AVERAGE('V25'!E82,'V26'!E82,'V27'!E82,'V28'!E82,'V29'!E82,'V30'!E82,'V31'!E82)) * 100</f>
        <v>64.385016706615545</v>
      </c>
      <c r="F84" s="18">
        <f>(F82 / AVERAGE('V25'!F82,'V26'!F82,'V27'!F82,'V28'!F82,'V29'!F82,'V30'!F82,'V31'!F82)) * 100</f>
        <v>64.251334869498464</v>
      </c>
      <c r="G84" s="18">
        <f>(G82 / AVERAGE('V25'!G82,'V26'!G82,'V27'!G82,'V28'!G82,'V29'!G82,'V30'!G82,'V31'!G82)) * 100</f>
        <v>63.768593418822583</v>
      </c>
      <c r="H84" s="14">
        <f>IFERROR((G84*0.6)+(F84*0.4),"")</f>
        <v>63.961689999092933</v>
      </c>
    </row>
    <row r="85" spans="1:11">
      <c r="A85" s="1">
        <v>9</v>
      </c>
      <c r="C85" s="2" t="s">
        <v>73</v>
      </c>
      <c r="D85" s="2" t="s">
        <v>5</v>
      </c>
      <c r="E85" s="2" t="s">
        <v>6</v>
      </c>
      <c r="F85" s="2" t="s">
        <v>7</v>
      </c>
      <c r="G85" s="2" t="s">
        <v>8</v>
      </c>
      <c r="H85" s="2" t="s">
        <v>9</v>
      </c>
      <c r="I85" s="2" t="s">
        <v>10</v>
      </c>
      <c r="J85" s="2" t="s">
        <v>11</v>
      </c>
      <c r="K85" s="2" t="s">
        <v>12</v>
      </c>
    </row>
    <row r="86" spans="1:11">
      <c r="B86" s="6" t="s">
        <v>74</v>
      </c>
      <c r="C86" s="2" t="s">
        <v>75</v>
      </c>
      <c r="D86" s="5" t="s">
        <v>76</v>
      </c>
      <c r="E86" s="7">
        <v>208</v>
      </c>
      <c r="F86" s="7">
        <v>7488</v>
      </c>
      <c r="G86" s="7">
        <v>1252.1600000000001</v>
      </c>
      <c r="H86" s="8">
        <f>IFERROR(G86/F86,"")</f>
        <v>0.16722222222222224</v>
      </c>
      <c r="I86" s="18">
        <f>IFERROR(((E86/$B$112) / AVERAGE('V25'!E86/'V25'!$B$112, 'V26'!E86/'V26'!$B$112, 'V27'!E86/'V27'!$B$112, 'V28'!E86/'V28'!$B$112, 'V29'!E86/'V29'!$B$112, 'V30'!E86/'V30'!$B$112, 'V31'!E86/'V31'!$B$112)) * 100,"")</f>
        <v>100.62724311584397</v>
      </c>
      <c r="J86" s="18">
        <f>IFERROR(((F86/$B$112) / AVERAGE('V25'!F86/'V25'!$B$112, 'V26'!F86/'V26'!$B$112, 'V27'!F86/'V27'!$B$112, 'V28'!F86/'V28'!$B$112, 'V29'!F86/'V29'!$B$112, 'V30'!F86/'V30'!$B$112, 'V31'!F86/'V31'!$B$112)) * 100,"")</f>
        <v>100.63652768494266</v>
      </c>
      <c r="K86" s="18">
        <f>IFERROR(((G86/$B$112) / AVERAGE('V25'!G86/'V25'!$B$112, 'V26'!G86/'V26'!$B$112, 'V27'!G86/'V27'!$B$112, 'V28'!G86/'V28'!$B$112, 'V29'!G86/'V29'!$B$112, 'V30'!G86/'V30'!$B$112, 'V31'!G86/'V31'!$B$112)) * 100,"")</f>
        <v>99.48368732381968</v>
      </c>
    </row>
    <row r="87" spans="1:11">
      <c r="C87" s="2" t="s">
        <v>77</v>
      </c>
    </row>
    <row r="88" spans="1:11">
      <c r="C88" s="2" t="s">
        <v>78</v>
      </c>
    </row>
    <row r="89" spans="1:11">
      <c r="C89" s="2" t="s">
        <v>79</v>
      </c>
    </row>
    <row r="90" spans="1:11">
      <c r="C90" s="9" t="s">
        <v>19</v>
      </c>
      <c r="D90" s="10"/>
      <c r="E90" s="11">
        <f>SUM(E86:E89)</f>
        <v>208</v>
      </c>
      <c r="F90" s="11">
        <f>SUM(F86:F89)</f>
        <v>7488</v>
      </c>
      <c r="G90" s="11">
        <f>SUM(G86:G89)</f>
        <v>1252.1600000000001</v>
      </c>
      <c r="H90" s="12">
        <f>IFERROR(G90/F90,"")</f>
        <v>0.16722222222222224</v>
      </c>
    </row>
    <row r="91" spans="1:11">
      <c r="B91" s="5" t="s">
        <v>20</v>
      </c>
      <c r="E91" s="16">
        <f>IFERROR((E90-('V31'!E90))/('V31'!E90),"")</f>
        <v>-0.12236286919831224</v>
      </c>
      <c r="F91" s="16">
        <f>IFERROR((F90-('V31'!F90))/('V31'!F90),"")</f>
        <v>-0.12236286919831224</v>
      </c>
      <c r="G91" s="16">
        <f>IFERROR((G90-('V31'!G90))/('V31'!G90),"")</f>
        <v>-0.12236286919831219</v>
      </c>
      <c r="H91" s="16">
        <f>IFERROR(H90-('V31'!H90),"")</f>
        <v>2.7755575615628914E-17</v>
      </c>
    </row>
    <row r="92" spans="1:11">
      <c r="B92" s="5" t="s">
        <v>21</v>
      </c>
      <c r="E92" s="13">
        <f>E90/$B$112</f>
        <v>1.1130732594852037E-2</v>
      </c>
      <c r="F92" s="13">
        <f>F90/$B$112</f>
        <v>0.4007063734146733</v>
      </c>
      <c r="G92" s="13">
        <f>G90/$B$112</f>
        <v>6.7007010221009258E-2</v>
      </c>
    </row>
    <row r="93" spans="1:11">
      <c r="B93" s="5" t="s">
        <v>22</v>
      </c>
      <c r="E93" s="8">
        <f>IFERROR((E92-'V31'!E92)/'V31'!E92,"")</f>
        <v>1.2962823723434891E-3</v>
      </c>
      <c r="F93" s="8">
        <f>IFERROR((F92-'V31'!F92)/'V31'!F92,"")</f>
        <v>1.2962823723434891E-3</v>
      </c>
      <c r="G93" s="8">
        <f>IFERROR((G92-'V31'!G92)/'V31'!G92,"")</f>
        <v>1.2962823723434724E-3</v>
      </c>
    </row>
    <row r="94" spans="1:11">
      <c r="B94" s="5" t="s">
        <v>23</v>
      </c>
      <c r="E94" s="18">
        <f>(E92 / AVERAGE('V25'!E92,'V26'!E92,'V27'!E92,'V28'!E92,'V29'!E92,'V30'!E92,'V31'!E92)) * 100</f>
        <v>100.62724311584397</v>
      </c>
      <c r="F94" s="18">
        <f>(F92 / AVERAGE('V25'!F92,'V26'!F92,'V27'!F92,'V28'!F92,'V29'!F92,'V30'!F92,'V31'!F92)) * 100</f>
        <v>100.63652768494266</v>
      </c>
      <c r="G94" s="18">
        <f>(G92 / AVERAGE('V25'!G92,'V26'!G92,'V27'!G92,'V28'!G92,'V29'!G92,'V30'!G92,'V31'!G92)) * 100</f>
        <v>99.48368732381968</v>
      </c>
      <c r="H94" s="14">
        <f>IFERROR((G94*0.6)+(F94*0.4),"")</f>
        <v>99.944823468268879</v>
      </c>
    </row>
    <row r="95" spans="1:11">
      <c r="A95" s="1">
        <v>10</v>
      </c>
      <c r="C95" s="2" t="s">
        <v>80</v>
      </c>
      <c r="D95" s="2" t="s">
        <v>5</v>
      </c>
      <c r="E95" s="2" t="s">
        <v>6</v>
      </c>
      <c r="F95" s="2" t="s">
        <v>7</v>
      </c>
      <c r="G95" s="2" t="s">
        <v>8</v>
      </c>
      <c r="H95" s="2" t="s">
        <v>9</v>
      </c>
      <c r="I95" s="2" t="s">
        <v>10</v>
      </c>
      <c r="J95" s="2" t="s">
        <v>11</v>
      </c>
      <c r="K95" s="2" t="s">
        <v>12</v>
      </c>
    </row>
    <row r="96" spans="1:11">
      <c r="B96" s="6" t="s">
        <v>81</v>
      </c>
      <c r="C96" s="2" t="s">
        <v>82</v>
      </c>
      <c r="D96" s="5" t="s">
        <v>83</v>
      </c>
      <c r="E96" s="7">
        <v>266</v>
      </c>
      <c r="F96" s="7">
        <v>9576</v>
      </c>
      <c r="G96" s="7">
        <v>1601.32</v>
      </c>
      <c r="H96" s="8">
        <f>IFERROR(G96/F96,"")</f>
        <v>0.16722222222222222</v>
      </c>
      <c r="I96" s="18">
        <f>IFERROR(((E96/$B$112) / AVERAGE('V25'!E96/'V25'!$B$112, 'V26'!E96/'V26'!$B$112, 'V27'!E96/'V27'!$B$112, 'V28'!E96/'V28'!$B$112, 'V29'!E96/'V29'!$B$112, 'V30'!E96/'V30'!$B$112, 'V31'!E96/'V31'!$B$112)) * 100,"")</f>
        <v>103.73683869627345</v>
      </c>
      <c r="J96" s="18">
        <f>IFERROR(((F96/$B$112) / AVERAGE('V25'!F96/'V25'!$B$112, 'V26'!F96/'V26'!$B$112, 'V27'!F96/'V27'!$B$112, 'V28'!F96/'V28'!$B$112, 'V29'!F96/'V29'!$B$112, 'V30'!F96/'V30'!$B$112, 'V31'!F96/'V31'!$B$112)) * 100,"")</f>
        <v>103.75049660876287</v>
      </c>
      <c r="K96" s="18">
        <f>IFERROR(((G96/$B$112) / AVERAGE('V25'!G96/'V25'!$B$112, 'V26'!G96/'V26'!$B$112, 'V27'!G96/'V27'!$B$112, 'V28'!G96/'V28'!$B$112, 'V29'!G96/'V29'!$B$112, 'V30'!G96/'V30'!$B$112, 'V31'!G96/'V31'!$B$112)) * 100,"")</f>
        <v>102.63211521996138</v>
      </c>
    </row>
    <row r="97" spans="2:8">
      <c r="C97" s="2" t="s">
        <v>84</v>
      </c>
    </row>
    <row r="98" spans="2:8">
      <c r="C98" s="2" t="s">
        <v>85</v>
      </c>
    </row>
    <row r="99" spans="2:8">
      <c r="C99" s="2" t="s">
        <v>86</v>
      </c>
    </row>
    <row r="100" spans="2:8">
      <c r="C100" s="9" t="s">
        <v>19</v>
      </c>
      <c r="D100" s="10"/>
      <c r="E100" s="11">
        <f>SUM(E96:E99)</f>
        <v>266</v>
      </c>
      <c r="F100" s="11">
        <f>SUM(F96:F99)</f>
        <v>9576</v>
      </c>
      <c r="G100" s="11">
        <f>SUM(G96:G99)</f>
        <v>1601.32</v>
      </c>
      <c r="H100" s="12">
        <f>IFERROR(G100/F100,"")</f>
        <v>0.16722222222222222</v>
      </c>
    </row>
    <row r="101" spans="2:8">
      <c r="B101" s="5" t="s">
        <v>20</v>
      </c>
      <c r="E101" s="16">
        <f>IFERROR((E100-('V31'!E100))/('V31'!E100),"")</f>
        <v>-9.8305084745762716E-2</v>
      </c>
      <c r="F101" s="16">
        <f>IFERROR((F100-('V31'!F100))/('V31'!F100),"")</f>
        <v>-9.8305084745762716E-2</v>
      </c>
      <c r="G101" s="16">
        <f>IFERROR((G100-('V31'!G100))/('V31'!G100),"")</f>
        <v>-9.83050847457628E-2</v>
      </c>
      <c r="H101" s="16">
        <f>IFERROR(H100-('V31'!H100),"")</f>
        <v>-2.7755575615628914E-17</v>
      </c>
    </row>
    <row r="102" spans="2:8">
      <c r="B102" s="5" t="s">
        <v>21</v>
      </c>
      <c r="E102" s="13">
        <f>E100/$B$112</f>
        <v>1.4234494568416547E-2</v>
      </c>
      <c r="F102" s="13">
        <f>F100/$B$112</f>
        <v>0.5124418044629957</v>
      </c>
      <c r="G102" s="13">
        <f>G100/$B$112</f>
        <v>8.5691657301867605E-2</v>
      </c>
    </row>
    <row r="103" spans="2:8">
      <c r="B103" s="5" t="s">
        <v>22</v>
      </c>
      <c r="E103" s="8">
        <f>IFERROR((E102-'V31'!E102)/'V31'!E102,"")</f>
        <v>2.87438108428501E-2</v>
      </c>
      <c r="F103" s="8">
        <f>IFERROR((F102-'V31'!F102)/'V31'!F102,"")</f>
        <v>2.8743810842850114E-2</v>
      </c>
      <c r="G103" s="8">
        <f>IFERROR((G102-'V31'!G102)/'V31'!G102,"")</f>
        <v>2.8743810842849993E-2</v>
      </c>
    </row>
    <row r="104" spans="2:8">
      <c r="B104" s="5" t="s">
        <v>23</v>
      </c>
      <c r="E104" s="18">
        <f>(E102 / AVERAGE('V25'!E102,'V26'!E102,'V27'!E102,'V28'!E102,'V29'!E102,'V30'!E102,'V31'!E102)) * 100</f>
        <v>103.73683869627345</v>
      </c>
      <c r="F104" s="18">
        <f>(F102 / AVERAGE('V25'!F102,'V26'!F102,'V27'!F102,'V28'!F102,'V29'!F102,'V30'!F102,'V31'!F102)) * 100</f>
        <v>103.75049660876287</v>
      </c>
      <c r="G104" s="18">
        <f>(G102 / AVERAGE('V25'!G102,'V26'!G102,'V27'!G102,'V28'!G102,'V29'!G102,'V30'!G102,'V31'!G102)) * 100</f>
        <v>102.63211521996138</v>
      </c>
      <c r="H104" s="14">
        <f>IFERROR((G104*0.6)+(F104*0.4),"")</f>
        <v>103.07946777548197</v>
      </c>
    </row>
    <row r="106" spans="2:8">
      <c r="B106" s="2" t="s">
        <v>87</v>
      </c>
      <c r="E106" s="15">
        <f>E10+E20+E30+E40+E50+E60+E70+E80+E90+E100</f>
        <v>2459</v>
      </c>
      <c r="F106" s="15">
        <f>F10+F20+F30+F40+F50+F60+F70+F80+F90+F100</f>
        <v>85349.92</v>
      </c>
      <c r="G106" s="15">
        <f>G10+G20+G30+G40+G50+G60+G70+G80+G90+G100</f>
        <v>16606.68</v>
      </c>
      <c r="H106" s="16">
        <f>IFERROR(G106/F106,"")</f>
        <v>0.19457171137360177</v>
      </c>
    </row>
    <row r="107" spans="2:8">
      <c r="B107" s="5" t="s">
        <v>88</v>
      </c>
      <c r="E107" s="16">
        <f>IFERROR((E106-'V31'!E106)/'V31'!E106,"")</f>
        <v>-9.3289085545722711E-2</v>
      </c>
      <c r="F107" s="16">
        <f>IFERROR((F106-'V31'!F106)/'V31'!F106,"")</f>
        <v>-0.10087999017340457</v>
      </c>
      <c r="G107" s="16">
        <f>IFERROR((G106-'V31'!G106)/'V31'!G106,"")</f>
        <v>-9.7935646758980754E-2</v>
      </c>
      <c r="H107" s="16">
        <f>IFERROR(H106-'V31'!H106,"")</f>
        <v>6.3508322322872179E-4</v>
      </c>
    </row>
    <row r="108" spans="2:8">
      <c r="B108" s="5" t="s">
        <v>21</v>
      </c>
      <c r="E108" s="13">
        <f>E106/$B$112</f>
        <v>0.13158880505164017</v>
      </c>
      <c r="F108" s="13">
        <f>F106/$B$112</f>
        <v>4.5673420024616043</v>
      </c>
      <c r="G108" s="13">
        <f>G106/$B$112</f>
        <v>0.88867554984748753</v>
      </c>
    </row>
    <row r="109" spans="2:8">
      <c r="B109" s="5" t="s">
        <v>22</v>
      </c>
      <c r="E109" s="8">
        <f>IFERROR((E108-'V31'!E108)/'V31'!E108,"")</f>
        <v>3.44665647864928E-2</v>
      </c>
      <c r="F109" s="8">
        <f>IFERROR((F108-'V31'!F108)/'V31'!F108,"")</f>
        <v>2.5806101006208226E-2</v>
      </c>
      <c r="G109" s="8">
        <f>IFERROR((G108-'V31'!G108)/'V31'!G108,"")</f>
        <v>2.9165302675578219E-2</v>
      </c>
    </row>
    <row r="110" spans="2:8">
      <c r="B110" s="5" t="s">
        <v>23</v>
      </c>
      <c r="E110" s="18">
        <f>IFERROR((E108 / AVERAGE('V25'!E108,'V26'!E108,'V27'!E108,'V28'!E108,'V29'!E108,'V30'!E108,'V31'!E108)) * 100,"")</f>
        <v>104.12094917770534</v>
      </c>
      <c r="F110" s="18">
        <f>IFERROR((F108 / AVERAGE('V25'!F108,'V26'!F108,'V27'!F108,'V28'!F108,'V29'!F108,'V30'!F108,'V31'!F108)) * 100,"")</f>
        <v>105.0178444954004</v>
      </c>
      <c r="G110" s="18">
        <f>IFERROR((G108 / AVERAGE('V25'!G108,'V26'!G108,'V27'!G108,'V28'!G108,'V29'!G108,'V30'!G108,'V31'!G108)) * 100,"")</f>
        <v>113.69454821819227</v>
      </c>
      <c r="H110" s="14">
        <f>IFERROR((G110*0.6)+(F110*0.4),"")</f>
        <v>110.22386672907551</v>
      </c>
    </row>
    <row r="111" spans="2:8">
      <c r="B111" s="5" t="s">
        <v>89</v>
      </c>
      <c r="C111" s="5" t="s">
        <v>90</v>
      </c>
      <c r="D111" s="5" t="s">
        <v>91</v>
      </c>
    </row>
    <row r="112" spans="2:8">
      <c r="B112" s="17">
        <v>18687</v>
      </c>
      <c r="C112" s="17">
        <f>B112-'V31'!$B$112</f>
        <v>-2633</v>
      </c>
      <c r="D112" s="19">
        <f>C112/'V31'!$B$112</f>
        <v>-0.12349906191369606</v>
      </c>
    </row>
  </sheetData>
  <conditionalFormatting sqref="E11:G11">
    <cfRule type="cellIs" dxfId="241" priority="1" operator="lessThan">
      <formula>0</formula>
    </cfRule>
    <cfRule type="cellIs" dxfId="240" priority="2" operator="greaterThan">
      <formula>0</formula>
    </cfRule>
  </conditionalFormatting>
  <conditionalFormatting sqref="E21:G21">
    <cfRule type="cellIs" dxfId="239" priority="3" operator="lessThan">
      <formula>0</formula>
    </cfRule>
    <cfRule type="cellIs" dxfId="238" priority="4" operator="greaterThan">
      <formula>0</formula>
    </cfRule>
  </conditionalFormatting>
  <conditionalFormatting sqref="E31:G31">
    <cfRule type="cellIs" dxfId="237" priority="5" operator="lessThan">
      <formula>0</formula>
    </cfRule>
    <cfRule type="cellIs" dxfId="236" priority="6" operator="greaterThan">
      <formula>0</formula>
    </cfRule>
  </conditionalFormatting>
  <conditionalFormatting sqref="E41:G41">
    <cfRule type="cellIs" dxfId="235" priority="7" operator="lessThan">
      <formula>0</formula>
    </cfRule>
    <cfRule type="cellIs" dxfId="234" priority="8" operator="greaterThan">
      <formula>0</formula>
    </cfRule>
  </conditionalFormatting>
  <conditionalFormatting sqref="E51:G51">
    <cfRule type="cellIs" dxfId="233" priority="9" operator="lessThan">
      <formula>0</formula>
    </cfRule>
    <cfRule type="cellIs" dxfId="232" priority="10" operator="greaterThan">
      <formula>0</formula>
    </cfRule>
  </conditionalFormatting>
  <conditionalFormatting sqref="E61:G61">
    <cfRule type="cellIs" dxfId="231" priority="11" operator="lessThan">
      <formula>0</formula>
    </cfRule>
    <cfRule type="cellIs" dxfId="230" priority="12" operator="greaterThan">
      <formula>0</formula>
    </cfRule>
  </conditionalFormatting>
  <conditionalFormatting sqref="E71:G71">
    <cfRule type="cellIs" dxfId="229" priority="13" operator="lessThan">
      <formula>0</formula>
    </cfRule>
    <cfRule type="cellIs" dxfId="228" priority="14" operator="greaterThan">
      <formula>0</formula>
    </cfRule>
  </conditionalFormatting>
  <conditionalFormatting sqref="E81:G81">
    <cfRule type="cellIs" dxfId="227" priority="15" operator="lessThan">
      <formula>0</formula>
    </cfRule>
    <cfRule type="cellIs" dxfId="226" priority="16" operator="greaterThan">
      <formula>0</formula>
    </cfRule>
  </conditionalFormatting>
  <conditionalFormatting sqref="E91:G91">
    <cfRule type="cellIs" dxfId="225" priority="17" operator="lessThan">
      <formula>0</formula>
    </cfRule>
    <cfRule type="cellIs" dxfId="224" priority="18" operator="greaterThan">
      <formula>0</formula>
    </cfRule>
  </conditionalFormatting>
  <conditionalFormatting sqref="E101:G101">
    <cfRule type="cellIs" dxfId="223" priority="19" operator="lessThan">
      <formula>0</formula>
    </cfRule>
    <cfRule type="cellIs" dxfId="222" priority="20" operator="greaterThan">
      <formula>0</formula>
    </cfRule>
  </conditionalFormatting>
  <conditionalFormatting sqref="E107:G107">
    <cfRule type="cellIs" dxfId="221" priority="21" operator="lessThan">
      <formula>0</formula>
    </cfRule>
    <cfRule type="cellIs" dxfId="220" priority="22" operator="greaterThan">
      <formula>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12"/>
  <sheetViews>
    <sheetView zoomScaleNormal="100" zoomScaleSheetLayoutView="100" workbookViewId="0"/>
  </sheetViews>
  <sheetFormatPr defaultRowHeight="15"/>
  <cols>
    <col min="2" max="2" width="16" customWidth="1"/>
    <col min="4" max="4" width="26" customWidth="1"/>
    <col min="5" max="5" width="10" customWidth="1"/>
    <col min="6" max="7" width="12" customWidth="1"/>
    <col min="8" max="8" width="10" customWidth="1"/>
    <col min="9" max="11" width="12" customWidth="1"/>
  </cols>
  <sheetData>
    <row r="1" spans="1:11">
      <c r="A1" s="1" t="s">
        <v>0</v>
      </c>
    </row>
    <row r="3" spans="1:11">
      <c r="C3" s="2" t="s">
        <v>112</v>
      </c>
    </row>
    <row r="4" spans="1:11">
      <c r="C4" s="3" t="s">
        <v>113</v>
      </c>
      <c r="I4" s="4">
        <v>33</v>
      </c>
      <c r="J4" s="5" t="s">
        <v>3</v>
      </c>
    </row>
    <row r="5" spans="1:11">
      <c r="A5" s="1">
        <v>1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</row>
    <row r="6" spans="1:11">
      <c r="B6" s="6" t="s">
        <v>104</v>
      </c>
      <c r="C6" s="2" t="s">
        <v>14</v>
      </c>
      <c r="D6" s="5" t="s">
        <v>105</v>
      </c>
      <c r="E6" s="7">
        <v>163</v>
      </c>
      <c r="F6" s="7">
        <v>11722.28</v>
      </c>
      <c r="G6" s="7">
        <v>976.78</v>
      </c>
      <c r="H6" s="8">
        <f>IFERROR(G6/F6,"")</f>
        <v>8.3326793081209452E-2</v>
      </c>
      <c r="I6" s="18">
        <f>IFERROR(((E6/$B$112) / AVERAGE('V25'!E6/'V25'!$B$112, 'V26'!E6/'V26'!$B$112, 'V27'!E6/'V27'!$B$112, 'V28'!E6/'V28'!$B$112, 'V29'!E6/'V29'!$B$112, 'V30'!E6/'V30'!$B$112, 'V31'!E6/'V31'!$B$112, 'V32'!E6/'V32'!$B$112)) * 100,"")</f>
        <v>121.19587653532315</v>
      </c>
      <c r="J6" s="18">
        <f>IFERROR(((F6/$B$112) / AVERAGE('V25'!F6/'V25'!$B$112, 'V26'!F6/'V26'!$B$112, 'V27'!F6/'V27'!$B$112, 'V28'!F6/'V28'!$B$112, 'V29'!F6/'V29'!$B$112, 'V30'!F6/'V30'!$B$112, 'V31'!F6/'V31'!$B$112, 'V32'!F6/'V32'!$B$112)) * 100,"")</f>
        <v>121.39694521314284</v>
      </c>
      <c r="K6" s="18">
        <f>IFERROR(((G6/$B$112) / AVERAGE('V25'!G6/'V25'!$B$112, 'V26'!G6/'V26'!$B$112, 'V27'!G6/'V27'!$B$112, 'V28'!G6/'V28'!$B$112, 'V29'!G6/'V29'!$B$112, 'V30'!G6/'V30'!$B$112, 'V31'!G6/'V31'!$B$112, 'V32'!G6/'V32'!$B$112)) * 100,"")</f>
        <v>41.953273891280027</v>
      </c>
    </row>
    <row r="7" spans="1:11">
      <c r="C7" s="2" t="s">
        <v>16</v>
      </c>
    </row>
    <row r="8" spans="1:11">
      <c r="C8" s="2" t="s">
        <v>17</v>
      </c>
    </row>
    <row r="9" spans="1:11">
      <c r="C9" s="2" t="s">
        <v>18</v>
      </c>
    </row>
    <row r="10" spans="1:11">
      <c r="C10" s="9" t="s">
        <v>19</v>
      </c>
      <c r="D10" s="10"/>
      <c r="E10" s="11">
        <f>SUM(E6:E9)</f>
        <v>163</v>
      </c>
      <c r="F10" s="11">
        <f>SUM(F6:F9)</f>
        <v>11722.28</v>
      </c>
      <c r="G10" s="11">
        <f>SUM(G6:G9)</f>
        <v>976.78</v>
      </c>
      <c r="H10" s="12">
        <f>IFERROR(G10/F10,"")</f>
        <v>8.3326793081209452E-2</v>
      </c>
    </row>
    <row r="11" spans="1:11">
      <c r="B11" s="5" t="s">
        <v>20</v>
      </c>
      <c r="E11" s="16">
        <f>IFERROR((E10-('V32'!E10))/('V32'!E10),"")</f>
        <v>-6.3218390804597707E-2</v>
      </c>
      <c r="F11" s="16">
        <f>IFERROR((F10-('V32'!F10))/('V32'!F10),"")</f>
        <v>-6.3524171076514035E-2</v>
      </c>
      <c r="G11" s="16">
        <f>IFERROR((G10-('V32'!G10))/('V32'!G10),"")</f>
        <v>-0.6870739146035163</v>
      </c>
      <c r="H11" s="16">
        <f>IFERROR(H10-('V32'!H10),"")</f>
        <v>-0.16604048968587393</v>
      </c>
    </row>
    <row r="12" spans="1:11">
      <c r="B12" s="5" t="s">
        <v>21</v>
      </c>
      <c r="E12" s="13">
        <f>E10/$B$112</f>
        <v>8.8027218231895021E-3</v>
      </c>
      <c r="F12" s="13">
        <f>F10/$B$112</f>
        <v>0.63305503051250211</v>
      </c>
      <c r="G12" s="13">
        <f>G10/$B$112</f>
        <v>5.2750445536533998E-2</v>
      </c>
    </row>
    <row r="13" spans="1:11">
      <c r="B13" s="5" t="s">
        <v>22</v>
      </c>
      <c r="E13" s="8">
        <f>IFERROR((E12-'V32'!E12)/'V32'!E12,"")</f>
        <v>-5.461803040263094E-2</v>
      </c>
      <c r="F13" s="8">
        <f>IFERROR((F12-'V32'!F12)/'V32'!F12,"")</f>
        <v>-5.4926617967641422E-2</v>
      </c>
      <c r="G13" s="8">
        <f>IFERROR((G12-'V32'!G12)/'V32'!G12,"")</f>
        <v>-0.68420101756201923</v>
      </c>
    </row>
    <row r="14" spans="1:11">
      <c r="B14" s="5" t="s">
        <v>23</v>
      </c>
      <c r="E14" s="18">
        <f>(E12 / AVERAGE('V25'!E12,'V26'!E12,'V27'!E12,'V28'!E12,'V29'!E12,'V30'!E12,'V31'!E12,'V32'!E12)) * 100</f>
        <v>121.19587653532315</v>
      </c>
      <c r="F14" s="18">
        <f>(F12 / AVERAGE('V25'!F12,'V26'!F12,'V27'!F12,'V28'!F12,'V29'!F12,'V30'!F12,'V31'!F12,'V32'!F12)) * 100</f>
        <v>121.39694521314284</v>
      </c>
      <c r="G14" s="18">
        <f>(G12 / AVERAGE('V25'!G12,'V26'!G12,'V27'!G12,'V28'!G12,'V29'!G12,'V30'!G12,'V31'!G12,'V32'!G12)) * 100</f>
        <v>41.953273891280027</v>
      </c>
      <c r="H14" s="14">
        <f>IFERROR((G14*0.6)+(F14*0.4),"")</f>
        <v>73.730742420025152</v>
      </c>
    </row>
    <row r="15" spans="1:11">
      <c r="A15" s="1">
        <v>2</v>
      </c>
      <c r="C15" s="2" t="s">
        <v>24</v>
      </c>
      <c r="D15" s="2" t="s">
        <v>5</v>
      </c>
      <c r="E15" s="2" t="s">
        <v>6</v>
      </c>
      <c r="F15" s="2" t="s">
        <v>7</v>
      </c>
      <c r="G15" s="2" t="s">
        <v>8</v>
      </c>
      <c r="H15" s="2" t="s">
        <v>9</v>
      </c>
      <c r="I15" s="2" t="s">
        <v>10</v>
      </c>
      <c r="J15" s="2" t="s">
        <v>11</v>
      </c>
      <c r="K15" s="2" t="s">
        <v>12</v>
      </c>
    </row>
    <row r="16" spans="1:11">
      <c r="B16" s="6" t="s">
        <v>25</v>
      </c>
      <c r="C16" s="2" t="s">
        <v>26</v>
      </c>
      <c r="D16" s="5" t="s">
        <v>27</v>
      </c>
      <c r="E16" s="7">
        <v>198</v>
      </c>
      <c r="F16" s="7">
        <v>3200.08</v>
      </c>
      <c r="G16" s="7">
        <v>417.98</v>
      </c>
      <c r="H16" s="8">
        <f>IFERROR(G16/F16,"")</f>
        <v>0.13061548461288469</v>
      </c>
      <c r="I16" s="18">
        <f>IFERROR(((E16/$B$112) / AVERAGE('V25'!E16/'V25'!$B$112, 'V26'!E16/'V26'!$B$112, 'V27'!E16/'V27'!$B$112, 'V28'!E16/'V28'!$B$112, 'V29'!E16/'V29'!$B$112, 'V30'!E16/'V30'!$B$112, 'V31'!E16/'V31'!$B$112, 'V32'!E16/'V32'!$B$112)) * 100,"")</f>
        <v>119.67103667085297</v>
      </c>
      <c r="J16" s="18">
        <f>IFERROR(((F16/$B$112) / AVERAGE('V25'!F16/'V25'!$B$112, 'V26'!F16/'V26'!$B$112, 'V27'!F16/'V27'!$B$112, 'V28'!F16/'V28'!$B$112, 'V29'!F16/'V29'!$B$112, 'V30'!F16/'V30'!$B$112, 'V31'!F16/'V31'!$B$112, 'V32'!F16/'V32'!$B$112)) * 100,"")</f>
        <v>96.35380561698716</v>
      </c>
      <c r="K16" s="18">
        <f>IFERROR(((G16/$B$112) / AVERAGE('V25'!G16/'V25'!$B$112, 'V26'!G16/'V26'!$B$112, 'V27'!G16/'V27'!$B$112, 'V28'!G16/'V28'!$B$112, 'V29'!G16/'V29'!$B$112, 'V30'!G16/'V30'!$B$112, 'V31'!G16/'V31'!$B$112, 'V32'!G16/'V32'!$B$112)) * 100,"")</f>
        <v>62.017754703453832</v>
      </c>
    </row>
    <row r="17" spans="1:11">
      <c r="C17" s="2" t="s">
        <v>28</v>
      </c>
    </row>
    <row r="18" spans="1:11">
      <c r="C18" s="2" t="s">
        <v>29</v>
      </c>
    </row>
    <row r="19" spans="1:11">
      <c r="C19" s="2" t="s">
        <v>30</v>
      </c>
    </row>
    <row r="20" spans="1:11">
      <c r="C20" s="9" t="s">
        <v>19</v>
      </c>
      <c r="D20" s="10"/>
      <c r="E20" s="11">
        <f>SUM(E16:E19)</f>
        <v>198</v>
      </c>
      <c r="F20" s="11">
        <f>SUM(F16:F19)</f>
        <v>3200.08</v>
      </c>
      <c r="G20" s="11">
        <f>SUM(G16:G19)</f>
        <v>417.98</v>
      </c>
      <c r="H20" s="12">
        <f>IFERROR(G20/F20,"")</f>
        <v>0.13061548461288469</v>
      </c>
    </row>
    <row r="21" spans="1:11">
      <c r="B21" s="5" t="s">
        <v>20</v>
      </c>
      <c r="E21" s="16">
        <f>IFERROR((E20-('V32'!E20))/('V32'!E20),"")</f>
        <v>0.16470588235294117</v>
      </c>
      <c r="F21" s="16">
        <f>IFERROR((F20-('V32'!F20))/('V32'!F20),"")</f>
        <v>-5.6913827655310591E-2</v>
      </c>
      <c r="G21" s="16">
        <f>IFERROR((G20-('V32'!G20))/('V32'!G20),"")</f>
        <v>-0.38685638844066306</v>
      </c>
      <c r="H21" s="16">
        <f>IFERROR(H20-('V32'!H20),"")</f>
        <v>-7.0286318994329772E-2</v>
      </c>
    </row>
    <row r="22" spans="1:11">
      <c r="B22" s="5" t="s">
        <v>21</v>
      </c>
      <c r="E22" s="13">
        <f>E20/$B$112</f>
        <v>1.0692876815898904E-2</v>
      </c>
      <c r="F22" s="13">
        <f>F20/$B$112</f>
        <v>0.17281849111627154</v>
      </c>
      <c r="G22" s="13">
        <f>G20/$B$112</f>
        <v>2.2572770967219314E-2</v>
      </c>
    </row>
    <row r="23" spans="1:11">
      <c r="B23" s="5" t="s">
        <v>22</v>
      </c>
      <c r="E23" s="8">
        <f>IFERROR((E22-'V32'!E22)/'V32'!E22,"")</f>
        <v>0.1753987591688401</v>
      </c>
      <c r="F23" s="8">
        <f>IFERROR((F22-'V32'!F22)/'V32'!F22,"")</f>
        <v>-4.8255586617421208E-2</v>
      </c>
      <c r="G23" s="8">
        <f>IFERROR((G22-'V32'!G22)/'V32'!G22,"")</f>
        <v>-0.38122726849871308</v>
      </c>
    </row>
    <row r="24" spans="1:11">
      <c r="B24" s="5" t="s">
        <v>23</v>
      </c>
      <c r="E24" s="18">
        <f>(E22 / AVERAGE('V25'!E22,'V26'!E22,'V27'!E22,'V28'!E22,'V29'!E22,'V30'!E22,'V31'!E22,'V32'!E22)) * 100</f>
        <v>119.67103667085297</v>
      </c>
      <c r="F24" s="18">
        <f>(F22 / AVERAGE('V25'!F22,'V26'!F22,'V27'!F22,'V28'!F22,'V29'!F22,'V30'!F22,'V31'!F22,'V32'!F22)) * 100</f>
        <v>96.35380561698716</v>
      </c>
      <c r="G24" s="18">
        <f>(G22 / AVERAGE('V25'!G22,'V26'!G22,'V27'!G22,'V28'!G22,'V29'!G22,'V30'!G22,'V31'!G22,'V32'!G22)) * 100</f>
        <v>62.017754703453832</v>
      </c>
      <c r="H24" s="14">
        <f>IFERROR((G24*0.6)+(F24*0.4),"")</f>
        <v>75.75217506886716</v>
      </c>
    </row>
    <row r="25" spans="1:11">
      <c r="A25" s="1">
        <v>3</v>
      </c>
      <c r="C25" s="2" t="s">
        <v>31</v>
      </c>
      <c r="D25" s="2" t="s">
        <v>5</v>
      </c>
      <c r="E25" s="2" t="s">
        <v>6</v>
      </c>
      <c r="F25" s="2" t="s">
        <v>7</v>
      </c>
      <c r="G25" s="2" t="s">
        <v>8</v>
      </c>
      <c r="H25" s="2" t="s">
        <v>9</v>
      </c>
      <c r="I25" s="2" t="s">
        <v>10</v>
      </c>
      <c r="J25" s="2" t="s">
        <v>11</v>
      </c>
      <c r="K25" s="2" t="s">
        <v>12</v>
      </c>
    </row>
    <row r="26" spans="1:11">
      <c r="B26" s="6" t="s">
        <v>32</v>
      </c>
      <c r="C26" s="2" t="s">
        <v>33</v>
      </c>
      <c r="D26" s="5" t="s">
        <v>34</v>
      </c>
      <c r="E26" s="7">
        <v>679</v>
      </c>
      <c r="F26" s="7">
        <v>16045.84</v>
      </c>
      <c r="G26" s="7">
        <v>3514.3</v>
      </c>
      <c r="H26" s="8">
        <f>IFERROR(G26/F26,"")</f>
        <v>0.21901626839105962</v>
      </c>
      <c r="I26" s="18">
        <f>IFERROR(((E26/$B$112) / AVERAGE('V25'!E26/'V25'!$B$112, 'V26'!E26/'V26'!$B$112, 'V27'!E26/'V27'!$B$112, 'V28'!E26/'V28'!$B$112, 'V29'!E26/'V29'!$B$112, 'V30'!E26/'V30'!$B$112, 'V31'!E26/'V31'!$B$112, 'V32'!E26/'V32'!$B$112)) * 100,"")</f>
        <v>122.18406981907626</v>
      </c>
      <c r="J26" s="18">
        <f>IFERROR(((F26/$B$112) / AVERAGE('V25'!F26/'V25'!$B$112, 'V26'!F26/'V26'!$B$112, 'V27'!F26/'V27'!$B$112, 'V28'!F26/'V28'!$B$112, 'V29'!F26/'V29'!$B$112, 'V30'!F26/'V30'!$B$112, 'V31'!F26/'V31'!$B$112, 'V32'!F26/'V32'!$B$112)) * 100,"")</f>
        <v>122.21372743747465</v>
      </c>
      <c r="K26" s="18">
        <f>IFERROR(((G26/$B$112) / AVERAGE('V25'!G26/'V25'!$B$112, 'V26'!G26/'V26'!$B$112, 'V27'!G26/'V27'!$B$112, 'V28'!G26/'V28'!$B$112, 'V29'!G26/'V29'!$B$112, 'V30'!G26/'V30'!$B$112, 'V31'!G26/'V31'!$B$112, 'V32'!G26/'V32'!$B$112)) * 100,"")</f>
        <v>121.4096019728689</v>
      </c>
    </row>
    <row r="27" spans="1:11">
      <c r="C27" s="2" t="s">
        <v>35</v>
      </c>
    </row>
    <row r="28" spans="1:11">
      <c r="C28" s="2" t="s">
        <v>36</v>
      </c>
    </row>
    <row r="29" spans="1:11">
      <c r="C29" s="2" t="s">
        <v>37</v>
      </c>
    </row>
    <row r="30" spans="1:11">
      <c r="C30" s="9" t="s">
        <v>19</v>
      </c>
      <c r="D30" s="10"/>
      <c r="E30" s="11">
        <f>SUM(E26:E29)</f>
        <v>679</v>
      </c>
      <c r="F30" s="11">
        <f>SUM(F26:F29)</f>
        <v>16045.84</v>
      </c>
      <c r="G30" s="11">
        <f>SUM(G26:G29)</f>
        <v>3514.3</v>
      </c>
      <c r="H30" s="12">
        <f>IFERROR(G30/F30,"")</f>
        <v>0.21901626839105962</v>
      </c>
    </row>
    <row r="31" spans="1:11">
      <c r="B31" s="5" t="s">
        <v>20</v>
      </c>
      <c r="E31" s="16">
        <f>IFERROR((E30-('V32'!E30))/('V32'!E30),"")</f>
        <v>0.12417218543046357</v>
      </c>
      <c r="F31" s="16">
        <f>IFERROR((F30-('V32'!F30))/('V32'!F30),"")</f>
        <v>0.12407073744147011</v>
      </c>
      <c r="G31" s="16">
        <f>IFERROR((G30-('V32'!G30))/('V32'!G30),"")</f>
        <v>0.14295842900537944</v>
      </c>
      <c r="H31" s="16">
        <f>IFERROR(H30-('V32'!H30),"")</f>
        <v>3.6193019972288465E-3</v>
      </c>
    </row>
    <row r="32" spans="1:11">
      <c r="B32" s="5" t="s">
        <v>21</v>
      </c>
      <c r="E32" s="13">
        <f>E30/$B$112</f>
        <v>3.6669006858562399E-2</v>
      </c>
      <c r="F32" s="13">
        <f>F30/$B$112</f>
        <v>0.86654641680617817</v>
      </c>
      <c r="G32" s="13">
        <f>G30/$B$112</f>
        <v>0.18978776259653293</v>
      </c>
    </row>
    <row r="33" spans="1:11">
      <c r="B33" s="5" t="s">
        <v>22</v>
      </c>
      <c r="E33" s="8">
        <f>IFERROR((E32-'V32'!E32)/'V32'!E32,"")</f>
        <v>0.13449293239396617</v>
      </c>
      <c r="F33" s="8">
        <f>IFERROR((F32-'V32'!F32)/'V32'!F32,"")</f>
        <v>0.13439055303606157</v>
      </c>
      <c r="G33" s="8">
        <f>IFERROR((G32-'V32'!G32)/'V32'!G32,"")</f>
        <v>0.15345164782759235</v>
      </c>
    </row>
    <row r="34" spans="1:11">
      <c r="B34" s="5" t="s">
        <v>23</v>
      </c>
      <c r="E34" s="18">
        <f>(E32 / AVERAGE('V25'!E32,'V26'!E32,'V27'!E32,'V28'!E32,'V29'!E32,'V30'!E32,'V31'!E32,'V32'!E32)) * 100</f>
        <v>122.18406981907626</v>
      </c>
      <c r="F34" s="18">
        <f>(F32 / AVERAGE('V25'!F32,'V26'!F32,'V27'!F32,'V28'!F32,'V29'!F32,'V30'!F32,'V31'!F32,'V32'!F32)) * 100</f>
        <v>122.21372743747465</v>
      </c>
      <c r="G34" s="18">
        <f>(G32 / AVERAGE('V25'!G32,'V26'!G32,'V27'!G32,'V28'!G32,'V29'!G32,'V30'!G32,'V31'!G32,'V32'!G32)) * 100</f>
        <v>121.4096019728689</v>
      </c>
      <c r="H34" s="14">
        <f>IFERROR((G34*0.6)+(F34*0.4),"")</f>
        <v>121.7312521587112</v>
      </c>
    </row>
    <row r="35" spans="1:11">
      <c r="A35" s="1">
        <v>4</v>
      </c>
      <c r="C35" s="2" t="s">
        <v>38</v>
      </c>
      <c r="D35" s="2" t="s">
        <v>5</v>
      </c>
      <c r="E35" s="2" t="s">
        <v>6</v>
      </c>
      <c r="F35" s="2" t="s">
        <v>7</v>
      </c>
      <c r="G35" s="2" t="s">
        <v>8</v>
      </c>
      <c r="H35" s="2" t="s">
        <v>9</v>
      </c>
      <c r="I35" s="2" t="s">
        <v>10</v>
      </c>
      <c r="J35" s="2" t="s">
        <v>11</v>
      </c>
      <c r="K35" s="2" t="s">
        <v>12</v>
      </c>
    </row>
    <row r="36" spans="1:11">
      <c r="B36" s="6" t="s">
        <v>39</v>
      </c>
      <c r="C36" s="2" t="s">
        <v>40</v>
      </c>
      <c r="D36" s="5" t="s">
        <v>41</v>
      </c>
      <c r="E36" s="7">
        <v>569</v>
      </c>
      <c r="F36" s="7">
        <v>13442.48</v>
      </c>
      <c r="G36" s="7">
        <v>2997.2</v>
      </c>
      <c r="H36" s="8">
        <f>IFERROR(G36/F36,"")</f>
        <v>0.22296481006480948</v>
      </c>
      <c r="I36" s="18">
        <f>IFERROR(((E36/$B$112) / AVERAGE('V25'!E36/'V25'!$B$112, 'V26'!E36/'V26'!$B$112, 'V27'!E36/'V27'!$B$112, 'V28'!E36/'V28'!$B$112, 'V29'!E36/'V29'!$B$112, 'V30'!E36/'V30'!$B$112, 'V31'!E36/'V31'!$B$112, 'V32'!E36/'V32'!$B$112)) * 100,"")</f>
        <v>116.72274567972416</v>
      </c>
      <c r="J36" s="18">
        <f>IFERROR(((F36/$B$112) / AVERAGE('V25'!F36/'V25'!$B$112, 'V26'!F36/'V26'!$B$112, 'V27'!F36/'V27'!$B$112, 'V28'!F36/'V28'!$B$112, 'V29'!F36/'V29'!$B$112, 'V30'!F36/'V30'!$B$112, 'V31'!F36/'V31'!$B$112, 'V32'!F36/'V32'!$B$112)) * 100,"")</f>
        <v>116.73374945102309</v>
      </c>
      <c r="K36" s="18">
        <f>IFERROR(((G36/$B$112) / AVERAGE('V25'!G36/'V25'!$B$112, 'V26'!G36/'V26'!$B$112, 'V27'!G36/'V27'!$B$112, 'V28'!G36/'V28'!$B$112, 'V29'!G36/'V29'!$B$112, 'V30'!G36/'V30'!$B$112, 'V31'!G36/'V31'!$B$112, 'V32'!G36/'V32'!$B$112)) * 100,"")</f>
        <v>116.514130470175</v>
      </c>
    </row>
    <row r="37" spans="1:11">
      <c r="C37" s="2" t="s">
        <v>42</v>
      </c>
    </row>
    <row r="38" spans="1:11">
      <c r="C38" s="2" t="s">
        <v>43</v>
      </c>
    </row>
    <row r="39" spans="1:11">
      <c r="C39" s="2" t="s">
        <v>44</v>
      </c>
    </row>
    <row r="40" spans="1:11">
      <c r="C40" s="9" t="s">
        <v>19</v>
      </c>
      <c r="D40" s="10"/>
      <c r="E40" s="11">
        <f>SUM(E36:E39)</f>
        <v>569</v>
      </c>
      <c r="F40" s="11">
        <f>SUM(F36:F39)</f>
        <v>13442.48</v>
      </c>
      <c r="G40" s="11">
        <f>SUM(G36:G39)</f>
        <v>2997.2</v>
      </c>
      <c r="H40" s="12">
        <f>IFERROR(G40/F40,"")</f>
        <v>0.22296481006480948</v>
      </c>
    </row>
    <row r="41" spans="1:11">
      <c r="B41" s="5" t="s">
        <v>20</v>
      </c>
      <c r="E41" s="16">
        <f>IFERROR((E40-('V32'!E40))/('V32'!E40),"")</f>
        <v>0.2423580786026201</v>
      </c>
      <c r="F41" s="16">
        <f>IFERROR((F40-('V32'!F40))/('V32'!F40),"")</f>
        <v>0.2423733826247689</v>
      </c>
      <c r="G41" s="16">
        <f>IFERROR((G40-('V32'!G40))/('V32'!G40),"")</f>
        <v>0.24143644120448973</v>
      </c>
      <c r="H41" s="16">
        <f>IFERROR(H40-('V32'!H40),"")</f>
        <v>-1.6827681134581884E-4</v>
      </c>
    </row>
    <row r="42" spans="1:11">
      <c r="B42" s="5" t="s">
        <v>21</v>
      </c>
      <c r="E42" s="13">
        <f>E40/$B$112</f>
        <v>3.0728519738618568E-2</v>
      </c>
      <c r="F42" s="13">
        <f>F40/$B$112</f>
        <v>0.72595344818275098</v>
      </c>
      <c r="G42" s="13">
        <f>G40/$B$112</f>
        <v>0.16186207268996056</v>
      </c>
    </row>
    <row r="43" spans="1:11">
      <c r="B43" s="5" t="s">
        <v>22</v>
      </c>
      <c r="E43" s="8">
        <f>IFERROR((E42-'V32'!E42)/'V32'!E42,"")</f>
        <v>0.25376386103835191</v>
      </c>
      <c r="F43" s="8">
        <f>IFERROR((F42-'V32'!F42)/'V32'!F42,"")</f>
        <v>0.25377930556294531</v>
      </c>
      <c r="G43" s="8">
        <f>IFERROR((G42-'V32'!G42)/'V32'!G42,"")</f>
        <v>0.25283376231507798</v>
      </c>
    </row>
    <row r="44" spans="1:11">
      <c r="B44" s="5" t="s">
        <v>23</v>
      </c>
      <c r="E44" s="18">
        <f>(E42 / AVERAGE('V25'!E42,'V26'!E42,'V27'!E42,'V28'!E42,'V29'!E42,'V30'!E42,'V31'!E42,'V32'!E42)) * 100</f>
        <v>116.72274567972416</v>
      </c>
      <c r="F44" s="18">
        <f>(F42 / AVERAGE('V25'!F42,'V26'!F42,'V27'!F42,'V28'!F42,'V29'!F42,'V30'!F42,'V31'!F42,'V32'!F42)) * 100</f>
        <v>116.73374945102309</v>
      </c>
      <c r="G44" s="18">
        <f>(G42 / AVERAGE('V25'!G42,'V26'!G42,'V27'!G42,'V28'!G42,'V29'!G42,'V30'!G42,'V31'!G42,'V32'!G42)) * 100</f>
        <v>116.514130470175</v>
      </c>
      <c r="H44" s="14">
        <f>IFERROR((G44*0.6)+(F44*0.4),"")</f>
        <v>116.60197806251423</v>
      </c>
    </row>
    <row r="45" spans="1:11">
      <c r="A45" s="1">
        <v>5</v>
      </c>
      <c r="C45" s="2" t="s">
        <v>45</v>
      </c>
      <c r="D45" s="2" t="s">
        <v>5</v>
      </c>
      <c r="E45" s="2" t="s">
        <v>6</v>
      </c>
      <c r="F45" s="2" t="s">
        <v>7</v>
      </c>
      <c r="G45" s="2" t="s">
        <v>8</v>
      </c>
      <c r="H45" s="2" t="s">
        <v>9</v>
      </c>
      <c r="I45" s="2" t="s">
        <v>10</v>
      </c>
      <c r="J45" s="2" t="s">
        <v>11</v>
      </c>
      <c r="K45" s="2" t="s">
        <v>12</v>
      </c>
    </row>
    <row r="46" spans="1:11">
      <c r="B46" s="6" t="s">
        <v>46</v>
      </c>
      <c r="C46" s="2" t="s">
        <v>47</v>
      </c>
      <c r="D46" s="5" t="s">
        <v>48</v>
      </c>
      <c r="E46" s="7">
        <v>203</v>
      </c>
      <c r="F46" s="7">
        <v>16077.6</v>
      </c>
      <c r="G46" s="7">
        <v>1797.6</v>
      </c>
      <c r="H46" s="8">
        <f>IFERROR(G46/F46,"")</f>
        <v>0.11180773249738767</v>
      </c>
      <c r="I46" s="18">
        <f>IFERROR(((E46/$B$112) / AVERAGE('V25'!E46/'V25'!$B$112, 'V26'!E46/'V26'!$B$112, 'V27'!E46/'V27'!$B$112, 'V28'!E46/'V28'!$B$112, 'V29'!E46/'V29'!$B$112, 'V30'!E46/'V30'!$B$112, 'V31'!E46/'V31'!$B$112, 'V32'!E46/'V32'!$B$112)) * 100,"")</f>
        <v>98.775093719675752</v>
      </c>
      <c r="J46" s="18">
        <f>IFERROR(((F46/$B$112) / AVERAGE('V25'!F46/'V25'!$B$112, 'V26'!F46/'V26'!$B$112, 'V27'!F46/'V27'!$B$112, 'V28'!F46/'V28'!$B$112, 'V29'!F46/'V29'!$B$112, 'V30'!F46/'V30'!$B$112, 'V31'!F46/'V31'!$B$112, 'V32'!F46/'V32'!$B$112)) * 100,"")</f>
        <v>102.82078911506625</v>
      </c>
      <c r="K46" s="18">
        <f>IFERROR(((G46/$B$112) / AVERAGE('V25'!G46/'V25'!$B$112, 'V26'!G46/'V26'!$B$112, 'V27'!G46/'V27'!$B$112, 'V28'!G46/'V28'!$B$112, 'V29'!G46/'V29'!$B$112, 'V30'!G46/'V30'!$B$112, 'V31'!G46/'V31'!$B$112, 'V32'!G46/'V32'!$B$112)) * 100,"")</f>
        <v>179.34712803505437</v>
      </c>
    </row>
    <row r="47" spans="1:11">
      <c r="C47" s="2" t="s">
        <v>49</v>
      </c>
    </row>
    <row r="48" spans="1:11">
      <c r="C48" s="2" t="s">
        <v>50</v>
      </c>
    </row>
    <row r="49" spans="1:11">
      <c r="C49" s="2" t="s">
        <v>51</v>
      </c>
    </row>
    <row r="50" spans="1:11">
      <c r="C50" s="9" t="s">
        <v>19</v>
      </c>
      <c r="D50" s="10"/>
      <c r="E50" s="11">
        <f>SUM(E46:E49)</f>
        <v>203</v>
      </c>
      <c r="F50" s="11">
        <f>SUM(F46:F49)</f>
        <v>16077.6</v>
      </c>
      <c r="G50" s="11">
        <f>SUM(G46:G49)</f>
        <v>1797.6</v>
      </c>
      <c r="H50" s="12">
        <f>IFERROR(G50/F50,"")</f>
        <v>0.11180773249738767</v>
      </c>
    </row>
    <row r="51" spans="1:11">
      <c r="B51" s="5" t="s">
        <v>20</v>
      </c>
      <c r="E51" s="16">
        <f>IFERROR((E50-('V32'!E50))/('V32'!E50),"")</f>
        <v>0.11538461538461539</v>
      </c>
      <c r="F51" s="16">
        <f>IFERROR((F50-('V32'!F50))/('V32'!F50),"")</f>
        <v>0.11845730027548218</v>
      </c>
      <c r="G51" s="16">
        <f>IFERROR((G50-('V32'!G50))/('V32'!G50),"")</f>
        <v>9.9584046978223609E-2</v>
      </c>
      <c r="H51" s="16">
        <f>IFERROR(H50-('V32'!H50),"")</f>
        <v>-1.9190671798252346E-3</v>
      </c>
    </row>
    <row r="52" spans="1:11">
      <c r="B52" s="5" t="s">
        <v>21</v>
      </c>
      <c r="E52" s="13">
        <f>E50/$B$112</f>
        <v>1.0962898957714533E-2</v>
      </c>
      <c r="F52" s="13">
        <f>F50/$B$112</f>
        <v>0.86826159745099096</v>
      </c>
      <c r="G52" s="13">
        <f>G50/$B$112</f>
        <v>9.7078360425554885E-2</v>
      </c>
    </row>
    <row r="53" spans="1:11">
      <c r="B53" s="5" t="s">
        <v>22</v>
      </c>
      <c r="E53" s="8">
        <f>IFERROR((E52-'V32'!E52)/'V32'!E52,"")</f>
        <v>0.12562468583962344</v>
      </c>
      <c r="F53" s="8">
        <f>IFERROR((F52-'V32'!F52)/'V32'!F52,"")</f>
        <v>0.12872558029097236</v>
      </c>
      <c r="G53" s="8">
        <f>IFERROR((G52-'V32'!G52)/'V32'!G52,"")</f>
        <v>0.10967905632024977</v>
      </c>
    </row>
    <row r="54" spans="1:11">
      <c r="B54" s="5" t="s">
        <v>23</v>
      </c>
      <c r="E54" s="18">
        <f>(E52 / AVERAGE('V25'!E52,'V26'!E52,'V27'!E52,'V28'!E52,'V29'!E52,'V30'!E52,'V31'!E52,'V32'!E52)) * 100</f>
        <v>98.775093719675752</v>
      </c>
      <c r="F54" s="18">
        <f>(F52 / AVERAGE('V25'!F52,'V26'!F52,'V27'!F52,'V28'!F52,'V29'!F52,'V30'!F52,'V31'!F52,'V32'!F52)) * 100</f>
        <v>102.82078911506625</v>
      </c>
      <c r="G54" s="18">
        <f>(G52 / AVERAGE('V25'!G52,'V26'!G52,'V27'!G52,'V28'!G52,'V29'!G52,'V30'!G52,'V31'!G52,'V32'!G52)) * 100</f>
        <v>179.34712803505437</v>
      </c>
      <c r="H54" s="14">
        <f>IFERROR((G54*0.6)+(F54*0.4),"")</f>
        <v>148.73659246705913</v>
      </c>
    </row>
    <row r="55" spans="1:11">
      <c r="A55" s="1">
        <v>6</v>
      </c>
      <c r="C55" s="2" t="s">
        <v>52</v>
      </c>
      <c r="D55" s="2" t="s">
        <v>5</v>
      </c>
      <c r="E55" s="2" t="s">
        <v>6</v>
      </c>
      <c r="F55" s="2" t="s">
        <v>7</v>
      </c>
      <c r="G55" s="2" t="s">
        <v>8</v>
      </c>
      <c r="H55" s="2" t="s">
        <v>9</v>
      </c>
      <c r="I55" s="2" t="s">
        <v>10</v>
      </c>
      <c r="J55" s="2" t="s">
        <v>11</v>
      </c>
      <c r="K55" s="2" t="s">
        <v>12</v>
      </c>
    </row>
    <row r="56" spans="1:11">
      <c r="B56" s="6" t="s">
        <v>53</v>
      </c>
      <c r="C56" s="2" t="s">
        <v>54</v>
      </c>
      <c r="D56" s="5" t="s">
        <v>55</v>
      </c>
      <c r="E56" s="7">
        <v>183</v>
      </c>
      <c r="F56" s="7">
        <v>7459.08</v>
      </c>
      <c r="G56" s="7">
        <v>1475.08</v>
      </c>
      <c r="H56" s="8">
        <f>IFERROR(G56/F56,"")</f>
        <v>0.19775629166063374</v>
      </c>
      <c r="I56" s="18">
        <f>IFERROR(((E56/$B$112) / AVERAGE('V25'!E56/'V25'!$B$112, 'V26'!E56/'V26'!$B$112, 'V27'!E56/'V27'!$B$112, 'V28'!E56/'V28'!$B$112, 'V29'!E56/'V29'!$B$112, 'V30'!E56/'V30'!$B$112, 'V31'!E56/'V31'!$B$112, 'V32'!E56/'V32'!$B$112)) * 100,"")</f>
        <v>102.32245129872386</v>
      </c>
      <c r="J56" s="18">
        <f>IFERROR(((F56/$B$112) / AVERAGE('V25'!F56/'V25'!$B$112, 'V26'!F56/'V26'!$B$112, 'V27'!F56/'V27'!$B$112, 'V28'!F56/'V28'!$B$112, 'V29'!F56/'V29'!$B$112, 'V30'!F56/'V30'!$B$112, 'V31'!F56/'V31'!$B$112, 'V32'!F56/'V32'!$B$112)) * 100,"")</f>
        <v>102.32885083161058</v>
      </c>
      <c r="K56" s="18">
        <f>IFERROR(((G56/$B$112) / AVERAGE('V25'!G56/'V25'!$B$112, 'V26'!G56/'V26'!$B$112, 'V27'!G56/'V27'!$B$112, 'V28'!G56/'V28'!$B$112, 'V29'!G56/'V29'!$B$112, 'V30'!G56/'V30'!$B$112, 'V31'!G56/'V31'!$B$112, 'V32'!G56/'V32'!$B$112)) * 100,"")</f>
        <v>94.179788091400013</v>
      </c>
    </row>
    <row r="57" spans="1:11">
      <c r="C57" s="2" t="s">
        <v>56</v>
      </c>
    </row>
    <row r="58" spans="1:11">
      <c r="C58" s="2" t="s">
        <v>57</v>
      </c>
    </row>
    <row r="59" spans="1:11">
      <c r="C59" s="2" t="s">
        <v>58</v>
      </c>
    </row>
    <row r="60" spans="1:11">
      <c r="C60" s="9" t="s">
        <v>19</v>
      </c>
      <c r="D60" s="10"/>
      <c r="E60" s="11">
        <f>SUM(E56:E59)</f>
        <v>183</v>
      </c>
      <c r="F60" s="11">
        <f>SUM(F56:F59)</f>
        <v>7459.08</v>
      </c>
      <c r="G60" s="11">
        <f>SUM(G56:G59)</f>
        <v>1475.08</v>
      </c>
      <c r="H60" s="12">
        <f>IFERROR(G60/F60,"")</f>
        <v>0.19775629166063374</v>
      </c>
    </row>
    <row r="61" spans="1:11">
      <c r="B61" s="5" t="s">
        <v>20</v>
      </c>
      <c r="E61" s="16">
        <f>IFERROR((E60-('V32'!E60))/('V32'!E60),"")</f>
        <v>-0.15277777777777779</v>
      </c>
      <c r="F61" s="16">
        <f>IFERROR((F60-('V32'!F60))/('V32'!F60),"")</f>
        <v>-0.15277777777777776</v>
      </c>
      <c r="G61" s="16">
        <f>IFERROR((G60-('V32'!G60))/('V32'!G60),"")</f>
        <v>-0.22042533400980896</v>
      </c>
      <c r="H61" s="16">
        <f>IFERROR(H60-('V32'!H60),"")</f>
        <v>-1.7160293226510526E-2</v>
      </c>
    </row>
    <row r="62" spans="1:11">
      <c r="B62" s="5" t="s">
        <v>21</v>
      </c>
      <c r="E62" s="13">
        <f>E60/$B$112</f>
        <v>9.8828103904520168E-3</v>
      </c>
      <c r="F62" s="13">
        <f>F60/$B$112</f>
        <v>0.40282335151482423</v>
      </c>
      <c r="G62" s="13">
        <f>G60/$B$112</f>
        <v>7.9660852189879561E-2</v>
      </c>
    </row>
    <row r="63" spans="1:11">
      <c r="B63" s="5" t="s">
        <v>22</v>
      </c>
      <c r="E63" s="8">
        <f>IFERROR((E62-'V32'!E62)/'V32'!E62,"")</f>
        <v>-0.14499963997047763</v>
      </c>
      <c r="F63" s="8">
        <f>IFERROR((F62-'V32'!F62)/'V32'!F62,"")</f>
        <v>-0.14499963997047757</v>
      </c>
      <c r="G63" s="8">
        <f>IFERROR((G62-'V32'!G62)/'V32'!G62,"")</f>
        <v>-0.21326825169526922</v>
      </c>
    </row>
    <row r="64" spans="1:11">
      <c r="B64" s="5" t="s">
        <v>23</v>
      </c>
      <c r="E64" s="18">
        <f>(E62 / AVERAGE('V25'!E62,'V26'!E62,'V27'!E62,'V28'!E62,'V29'!E62,'V30'!E62,'V31'!E62,'V32'!E62)) * 100</f>
        <v>102.32245129872386</v>
      </c>
      <c r="F64" s="18">
        <f>(F62 / AVERAGE('V25'!F62,'V26'!F62,'V27'!F62,'V28'!F62,'V29'!F62,'V30'!F62,'V31'!F62,'V32'!F62)) * 100</f>
        <v>102.32885083161058</v>
      </c>
      <c r="G64" s="18">
        <f>(G62 / AVERAGE('V25'!G62,'V26'!G62,'V27'!G62,'V28'!G62,'V29'!G62,'V30'!G62,'V31'!G62,'V32'!G62)) * 100</f>
        <v>94.179788091400013</v>
      </c>
      <c r="H64" s="14">
        <f>IFERROR((G64*0.6)+(F64*0.4),"")</f>
        <v>97.439413187484234</v>
      </c>
    </row>
    <row r="65" spans="1:11">
      <c r="A65" s="1">
        <v>7</v>
      </c>
      <c r="C65" s="2" t="s">
        <v>59</v>
      </c>
      <c r="D65" s="2" t="s">
        <v>5</v>
      </c>
      <c r="E65" s="2" t="s">
        <v>6</v>
      </c>
      <c r="F65" s="2" t="s">
        <v>7</v>
      </c>
      <c r="G65" s="2" t="s">
        <v>8</v>
      </c>
      <c r="H65" s="2" t="s">
        <v>9</v>
      </c>
      <c r="I65" s="2" t="s">
        <v>10</v>
      </c>
      <c r="J65" s="2" t="s">
        <v>11</v>
      </c>
      <c r="K65" s="2" t="s">
        <v>12</v>
      </c>
    </row>
    <row r="66" spans="1:11">
      <c r="B66" s="6" t="s">
        <v>60</v>
      </c>
      <c r="C66" s="2" t="s">
        <v>61</v>
      </c>
      <c r="D66" s="5" t="s">
        <v>62</v>
      </c>
      <c r="E66" s="7">
        <v>148</v>
      </c>
      <c r="F66" s="7">
        <v>3072.48</v>
      </c>
      <c r="G66" s="7">
        <v>711.88</v>
      </c>
      <c r="H66" s="8">
        <f>IFERROR(G66/F66,"")</f>
        <v>0.23169556840077071</v>
      </c>
      <c r="I66" s="18">
        <f>IFERROR(((E66/$B$112) / AVERAGE('V25'!E66/'V25'!$B$112, 'V26'!E66/'V26'!$B$112, 'V27'!E66/'V27'!$B$112, 'V28'!E66/'V28'!$B$112, 'V29'!E66/'V29'!$B$112, 'V30'!E66/'V30'!$B$112, 'V31'!E66/'V31'!$B$112, 'V32'!E66/'V32'!$B$112)) * 100,"")</f>
        <v>124.47896494930349</v>
      </c>
      <c r="J66" s="18">
        <f>IFERROR(((F66/$B$112) / AVERAGE('V25'!F66/'V25'!$B$112, 'V26'!F66/'V26'!$B$112, 'V27'!F66/'V27'!$B$112, 'V28'!F66/'V28'!$B$112, 'V29'!F66/'V29'!$B$112, 'V30'!F66/'V30'!$B$112, 'V31'!F66/'V31'!$B$112, 'V32'!F66/'V32'!$B$112)) * 100,"")</f>
        <v>124.54113565222012</v>
      </c>
      <c r="K66" s="18">
        <f>IFERROR(((G66/$B$112) / AVERAGE('V25'!G66/'V25'!$B$112, 'V26'!G66/'V26'!$B$112, 'V27'!G66/'V27'!$B$112, 'V28'!G66/'V28'!$B$112, 'V29'!G66/'V29'!$B$112, 'V30'!G66/'V30'!$B$112, 'V31'!G66/'V31'!$B$112, 'V32'!G66/'V32'!$B$112)) * 100,"")</f>
        <v>124.74773935673342</v>
      </c>
    </row>
    <row r="67" spans="1:11">
      <c r="C67" s="2" t="s">
        <v>63</v>
      </c>
    </row>
    <row r="68" spans="1:11">
      <c r="C68" s="2" t="s">
        <v>64</v>
      </c>
    </row>
    <row r="69" spans="1:11">
      <c r="C69" s="2" t="s">
        <v>65</v>
      </c>
    </row>
    <row r="70" spans="1:11">
      <c r="C70" s="9" t="s">
        <v>19</v>
      </c>
      <c r="D70" s="10"/>
      <c r="E70" s="11">
        <f>SUM(E66:E69)</f>
        <v>148</v>
      </c>
      <c r="F70" s="11">
        <f>SUM(F66:F69)</f>
        <v>3072.48</v>
      </c>
      <c r="G70" s="11">
        <f>SUM(G66:G69)</f>
        <v>711.88</v>
      </c>
      <c r="H70" s="12">
        <f>IFERROR(G70/F70,"")</f>
        <v>0.23169556840077071</v>
      </c>
    </row>
    <row r="71" spans="1:11">
      <c r="B71" s="5" t="s">
        <v>20</v>
      </c>
      <c r="E71" s="16">
        <f>IFERROR((E70-('V32'!E70))/('V32'!E70),"")</f>
        <v>-1.3333333333333334E-2</v>
      </c>
      <c r="F71" s="16">
        <f>IFERROR((F70-('V32'!F70))/('V32'!F70),"")</f>
        <v>-1.3333333333333327E-2</v>
      </c>
      <c r="G71" s="16">
        <f>IFERROR((G70-('V32'!G70))/('V32'!G70),"")</f>
        <v>-1.3333333333333339E-2</v>
      </c>
      <c r="H71" s="16">
        <f>IFERROR(H70-('V32'!H70),"")</f>
        <v>0</v>
      </c>
    </row>
    <row r="72" spans="1:11">
      <c r="B72" s="5" t="s">
        <v>21</v>
      </c>
      <c r="E72" s="13">
        <f>E70/$B$112</f>
        <v>7.9926553977426144E-3</v>
      </c>
      <c r="F72" s="13">
        <f>F70/$B$112</f>
        <v>0.16592752605713668</v>
      </c>
      <c r="G72" s="13">
        <f>G70/$B$112</f>
        <v>3.8444672463141975E-2</v>
      </c>
    </row>
    <row r="73" spans="1:11">
      <c r="B73" s="5" t="s">
        <v>22</v>
      </c>
      <c r="E73" s="8">
        <f>IFERROR((E72-'V32'!E72)/'V32'!E72,"")</f>
        <v>-4.2749905492251109E-3</v>
      </c>
      <c r="F73" s="8">
        <f>IFERROR((F72-'V32'!F72)/'V32'!F72,"")</f>
        <v>-4.2749905492250112E-3</v>
      </c>
      <c r="G73" s="8">
        <f>IFERROR((G72-'V32'!G72)/'V32'!G72,"")</f>
        <v>-4.2749905492250389E-3</v>
      </c>
    </row>
    <row r="74" spans="1:11">
      <c r="B74" s="5" t="s">
        <v>23</v>
      </c>
      <c r="E74" s="18">
        <f>(E72 / AVERAGE('V25'!E72,'V26'!E72,'V27'!E72,'V28'!E72,'V29'!E72,'V30'!E72,'V31'!E72,'V32'!E72)) * 100</f>
        <v>124.47896494930349</v>
      </c>
      <c r="F74" s="18">
        <f>(F72 / AVERAGE('V25'!F72,'V26'!F72,'V27'!F72,'V28'!F72,'V29'!F72,'V30'!F72,'V31'!F72,'V32'!F72)) * 100</f>
        <v>124.54113565222012</v>
      </c>
      <c r="G74" s="18">
        <f>(G72 / AVERAGE('V25'!G72,'V26'!G72,'V27'!G72,'V28'!G72,'V29'!G72,'V30'!G72,'V31'!G72,'V32'!G72)) * 100</f>
        <v>124.74773935673342</v>
      </c>
      <c r="H74" s="14">
        <f>IFERROR((G74*0.6)+(F74*0.4),"")</f>
        <v>124.66509787492809</v>
      </c>
    </row>
    <row r="75" spans="1:11">
      <c r="A75" s="1">
        <v>8</v>
      </c>
      <c r="C75" s="2" t="s">
        <v>66</v>
      </c>
      <c r="D75" s="2" t="s">
        <v>5</v>
      </c>
      <c r="E75" s="2" t="s">
        <v>6</v>
      </c>
      <c r="F75" s="2" t="s">
        <v>7</v>
      </c>
      <c r="G75" s="2" t="s">
        <v>8</v>
      </c>
      <c r="H75" s="2" t="s">
        <v>9</v>
      </c>
      <c r="I75" s="2" t="s">
        <v>10</v>
      </c>
      <c r="J75" s="2" t="s">
        <v>11</v>
      </c>
      <c r="K75" s="2" t="s">
        <v>12</v>
      </c>
    </row>
    <row r="76" spans="1:11">
      <c r="B76" s="6" t="s">
        <v>114</v>
      </c>
      <c r="C76" s="2" t="s">
        <v>68</v>
      </c>
      <c r="D76" s="5" t="s">
        <v>115</v>
      </c>
      <c r="E76" s="7">
        <v>171</v>
      </c>
      <c r="F76" s="7">
        <v>3420</v>
      </c>
      <c r="G76" s="7">
        <v>786.6</v>
      </c>
      <c r="H76" s="8">
        <f>IFERROR(G76/F76,"")</f>
        <v>0.23</v>
      </c>
      <c r="I76" s="18">
        <f>IFERROR(((E76/$B$112) / AVERAGE('V25'!E76/'V25'!$B$112, 'V26'!E76/'V26'!$B$112, 'V27'!E76/'V27'!$B$112, 'V28'!E76/'V28'!$B$112, 'V29'!E76/'V29'!$B$112, 'V30'!E76/'V30'!$B$112, 'V31'!E76/'V31'!$B$112, 'V32'!E76/'V32'!$B$112)) * 100,"")</f>
        <v>375.11636367870955</v>
      </c>
      <c r="J76" s="18">
        <f>IFERROR(((F76/$B$112) / AVERAGE('V25'!F76/'V25'!$B$112, 'V26'!F76/'V26'!$B$112, 'V27'!F76/'V27'!$B$112, 'V28'!F76/'V28'!$B$112, 'V29'!F76/'V29'!$B$112, 'V30'!F76/'V30'!$B$112, 'V31'!F76/'V31'!$B$112, 'V32'!F76/'V32'!$B$112)) * 100,"")</f>
        <v>235.05392631855239</v>
      </c>
      <c r="K76" s="18">
        <f>IFERROR(((G76/$B$112) / AVERAGE('V25'!G76/'V25'!$B$112, 'V26'!G76/'V26'!$B$112, 'V27'!G76/'V27'!$B$112, 'V28'!G76/'V28'!$B$112, 'V29'!G76/'V29'!$B$112, 'V30'!G76/'V30'!$B$112, 'V31'!G76/'V31'!$B$112, 'V32'!G76/'V32'!$B$112)) * 100,"")</f>
        <v>249.44591047175234</v>
      </c>
    </row>
    <row r="77" spans="1:11">
      <c r="C77" s="2" t="s">
        <v>70</v>
      </c>
    </row>
    <row r="78" spans="1:11">
      <c r="C78" s="2" t="s">
        <v>71</v>
      </c>
    </row>
    <row r="79" spans="1:11">
      <c r="C79" s="2" t="s">
        <v>72</v>
      </c>
    </row>
    <row r="80" spans="1:11">
      <c r="C80" s="9" t="s">
        <v>19</v>
      </c>
      <c r="D80" s="10"/>
      <c r="E80" s="11">
        <f>SUM(E76:E79)</f>
        <v>171</v>
      </c>
      <c r="F80" s="11">
        <f>SUM(F76:F79)</f>
        <v>3420</v>
      </c>
      <c r="G80" s="11">
        <f>SUM(G76:G79)</f>
        <v>786.6</v>
      </c>
      <c r="H80" s="12">
        <f>IFERROR(G80/F80,"")</f>
        <v>0.23</v>
      </c>
    </row>
    <row r="81" spans="1:11">
      <c r="B81" s="5" t="s">
        <v>20</v>
      </c>
      <c r="E81" s="16">
        <f>IFERROR((E80-('V32'!E80))/('V32'!E80),"")</f>
        <v>4.5161290322580649</v>
      </c>
      <c r="F81" s="16">
        <f>IFERROR((F80-('V32'!F80))/('V32'!F80),"")</f>
        <v>2.4630807242091621</v>
      </c>
      <c r="G81" s="16">
        <f>IFERROR((G80-('V32'!G80))/('V32'!G80),"")</f>
        <v>2.7006021829130598</v>
      </c>
      <c r="H81" s="16">
        <f>IFERROR(H80-('V32'!H80),"")</f>
        <v>1.4762444813479686E-2</v>
      </c>
    </row>
    <row r="82" spans="1:11">
      <c r="B82" s="5" t="s">
        <v>21</v>
      </c>
      <c r="E82" s="13">
        <f>E80/$B$112</f>
        <v>9.2347572500945073E-3</v>
      </c>
      <c r="F82" s="13">
        <f>F80/$B$112</f>
        <v>0.18469514500189016</v>
      </c>
      <c r="G82" s="13">
        <f>G80/$B$112</f>
        <v>4.247988335043474E-2</v>
      </c>
    </row>
    <row r="83" spans="1:11">
      <c r="B83" s="5" t="s">
        <v>22</v>
      </c>
      <c r="E83" s="8">
        <f>IFERROR((E82-'V32'!E82)/'V32'!E82,"")</f>
        <v>4.5667712494360018</v>
      </c>
      <c r="F83" s="8">
        <f>IFERROR((F82-'V32'!F82)/'V32'!F82,"")</f>
        <v>2.4948744123398288</v>
      </c>
      <c r="G83" s="8">
        <f>IFERROR((G82-'V32'!G82)/'V32'!G82,"")</f>
        <v>2.7345764968459449</v>
      </c>
    </row>
    <row r="84" spans="1:11">
      <c r="B84" s="5" t="s">
        <v>23</v>
      </c>
      <c r="E84" s="18">
        <f>(E82 / AVERAGE('V25'!E82,'V26'!E82,'V27'!E82,'V28'!E82,'V29'!E82,'V30'!E82,'V31'!E82,'V32'!E82)) * 100</f>
        <v>375.11636367870955</v>
      </c>
      <c r="F84" s="18">
        <f>(F82 / AVERAGE('V25'!F82,'V26'!F82,'V27'!F82,'V28'!F82,'V29'!F82,'V30'!F82,'V31'!F82,'V32'!F82)) * 100</f>
        <v>235.05392631855239</v>
      </c>
      <c r="G84" s="18">
        <f>(G82 / AVERAGE('V25'!G82,'V26'!G82,'V27'!G82,'V28'!G82,'V29'!G82,'V30'!G82,'V31'!G82,'V32'!G82)) * 100</f>
        <v>249.44591047175234</v>
      </c>
      <c r="H84" s="14">
        <f>IFERROR((G84*0.6)+(F84*0.4),"")</f>
        <v>243.68911681047234</v>
      </c>
    </row>
    <row r="85" spans="1:11">
      <c r="A85" s="1">
        <v>9</v>
      </c>
      <c r="C85" s="2" t="s">
        <v>73</v>
      </c>
      <c r="D85" s="2" t="s">
        <v>5</v>
      </c>
      <c r="E85" s="2" t="s">
        <v>6</v>
      </c>
      <c r="F85" s="2" t="s">
        <v>7</v>
      </c>
      <c r="G85" s="2" t="s">
        <v>8</v>
      </c>
      <c r="H85" s="2" t="s">
        <v>9</v>
      </c>
      <c r="I85" s="2" t="s">
        <v>10</v>
      </c>
      <c r="J85" s="2" t="s">
        <v>11</v>
      </c>
      <c r="K85" s="2" t="s">
        <v>12</v>
      </c>
    </row>
    <row r="86" spans="1:11">
      <c r="B86" s="6" t="s">
        <v>74</v>
      </c>
      <c r="C86" s="2" t="s">
        <v>75</v>
      </c>
      <c r="D86" s="5" t="s">
        <v>76</v>
      </c>
      <c r="E86" s="7">
        <v>213</v>
      </c>
      <c r="F86" s="7">
        <v>7668</v>
      </c>
      <c r="G86" s="7">
        <v>1282.26</v>
      </c>
      <c r="H86" s="8">
        <f>IFERROR(G86/F86,"")</f>
        <v>0.16722222222222222</v>
      </c>
      <c r="I86" s="18">
        <f>IFERROR(((E86/$B$112) / AVERAGE('V25'!E86/'V25'!$B$112, 'V26'!E86/'V26'!$B$112, 'V27'!E86/'V27'!$B$112, 'V28'!E86/'V28'!$B$112, 'V29'!E86/'V29'!$B$112, 'V30'!E86/'V30'!$B$112, 'V31'!E86/'V31'!$B$112, 'V32'!E86/'V32'!$B$112)) * 100,"")</f>
        <v>103.91073700170548</v>
      </c>
      <c r="J86" s="18">
        <f>IFERROR(((F86/$B$112) / AVERAGE('V25'!F86/'V25'!$B$112, 'V26'!F86/'V26'!$B$112, 'V27'!F86/'V27'!$B$112, 'V28'!F86/'V28'!$B$112, 'V29'!F86/'V29'!$B$112, 'V30'!F86/'V30'!$B$112, 'V31'!F86/'V31'!$B$112, 'V32'!F86/'V32'!$B$112)) * 100,"")</f>
        <v>103.91911941834522</v>
      </c>
      <c r="K86" s="18">
        <f>IFERROR(((G86/$B$112) / AVERAGE('V25'!G86/'V25'!$B$112, 'V26'!G86/'V26'!$B$112, 'V27'!G86/'V27'!$B$112, 'V28'!G86/'V28'!$B$112, 'V29'!G86/'V29'!$B$112, 'V30'!G86/'V30'!$B$112, 'V31'!G86/'V31'!$B$112, 'V32'!G86/'V32'!$B$112)) * 100,"")</f>
        <v>102.8768081802671</v>
      </c>
    </row>
    <row r="87" spans="1:11">
      <c r="C87" s="2" t="s">
        <v>77</v>
      </c>
    </row>
    <row r="88" spans="1:11">
      <c r="C88" s="2" t="s">
        <v>78</v>
      </c>
    </row>
    <row r="89" spans="1:11">
      <c r="C89" s="2" t="s">
        <v>79</v>
      </c>
    </row>
    <row r="90" spans="1:11">
      <c r="C90" s="9" t="s">
        <v>19</v>
      </c>
      <c r="D90" s="10"/>
      <c r="E90" s="11">
        <f>SUM(E86:E89)</f>
        <v>213</v>
      </c>
      <c r="F90" s="11">
        <f>SUM(F86:F89)</f>
        <v>7668</v>
      </c>
      <c r="G90" s="11">
        <f>SUM(G86:G89)</f>
        <v>1282.26</v>
      </c>
      <c r="H90" s="12">
        <f>IFERROR(G90/F90,"")</f>
        <v>0.16722222222222222</v>
      </c>
    </row>
    <row r="91" spans="1:11">
      <c r="B91" s="5" t="s">
        <v>20</v>
      </c>
      <c r="E91" s="16">
        <f>IFERROR((E90-('V32'!E90))/('V32'!E90),"")</f>
        <v>2.403846153846154E-2</v>
      </c>
      <c r="F91" s="16">
        <f>IFERROR((F90-('V32'!F90))/('V32'!F90),"")</f>
        <v>2.403846153846154E-2</v>
      </c>
      <c r="G91" s="16">
        <f>IFERROR((G90-('V32'!G90))/('V32'!G90),"")</f>
        <v>2.4038461538461463E-2</v>
      </c>
      <c r="H91" s="16">
        <f>IFERROR(H90-('V32'!H90),"")</f>
        <v>-2.7755575615628914E-17</v>
      </c>
    </row>
    <row r="92" spans="1:11">
      <c r="B92" s="5" t="s">
        <v>21</v>
      </c>
      <c r="E92" s="13">
        <f>E90/$B$112</f>
        <v>1.150294324134579E-2</v>
      </c>
      <c r="F92" s="13">
        <f>F90/$B$112</f>
        <v>0.41410595668844846</v>
      </c>
      <c r="G92" s="13">
        <f>G90/$B$112</f>
        <v>6.9247718312901663E-2</v>
      </c>
    </row>
    <row r="93" spans="1:11">
      <c r="B93" s="5" t="s">
        <v>22</v>
      </c>
      <c r="E93" s="8">
        <f>IFERROR((E92-'V32'!E92)/'V32'!E92,"")</f>
        <v>3.3439905533792211E-2</v>
      </c>
      <c r="F93" s="8">
        <f>IFERROR((F92-'V32'!F92)/'V32'!F92,"")</f>
        <v>3.3439905533792259E-2</v>
      </c>
      <c r="G93" s="8">
        <f>IFERROR((G92-'V32'!G92)/'V32'!G92,"")</f>
        <v>3.3439905533792294E-2</v>
      </c>
    </row>
    <row r="94" spans="1:11">
      <c r="B94" s="5" t="s">
        <v>23</v>
      </c>
      <c r="E94" s="18">
        <f>(E92 / AVERAGE('V25'!E92,'V26'!E92,'V27'!E92,'V28'!E92,'V29'!E92,'V30'!E92,'V31'!E92,'V32'!E92)) * 100</f>
        <v>103.91073700170548</v>
      </c>
      <c r="F94" s="18">
        <f>(F92 / AVERAGE('V25'!F92,'V26'!F92,'V27'!F92,'V28'!F92,'V29'!F92,'V30'!F92,'V31'!F92,'V32'!F92)) * 100</f>
        <v>103.91911941834522</v>
      </c>
      <c r="G94" s="18">
        <f>(G92 / AVERAGE('V25'!G92,'V26'!G92,'V27'!G92,'V28'!G92,'V29'!G92,'V30'!G92,'V31'!G92,'V32'!G92)) * 100</f>
        <v>102.8768081802671</v>
      </c>
      <c r="H94" s="14">
        <f>IFERROR((G94*0.6)+(F94*0.4),"")</f>
        <v>103.29373267549835</v>
      </c>
    </row>
    <row r="95" spans="1:11">
      <c r="A95" s="1">
        <v>10</v>
      </c>
      <c r="C95" s="2" t="s">
        <v>80</v>
      </c>
      <c r="D95" s="2" t="s">
        <v>5</v>
      </c>
      <c r="E95" s="2" t="s">
        <v>6</v>
      </c>
      <c r="F95" s="2" t="s">
        <v>7</v>
      </c>
      <c r="G95" s="2" t="s">
        <v>8</v>
      </c>
      <c r="H95" s="2" t="s">
        <v>9</v>
      </c>
      <c r="I95" s="2" t="s">
        <v>10</v>
      </c>
      <c r="J95" s="2" t="s">
        <v>11</v>
      </c>
      <c r="K95" s="2" t="s">
        <v>12</v>
      </c>
    </row>
    <row r="96" spans="1:11">
      <c r="B96" s="6" t="s">
        <v>81</v>
      </c>
      <c r="C96" s="2" t="s">
        <v>82</v>
      </c>
      <c r="D96" s="5" t="s">
        <v>83</v>
      </c>
      <c r="E96" s="7">
        <v>282</v>
      </c>
      <c r="F96" s="7">
        <v>10152</v>
      </c>
      <c r="G96" s="7">
        <v>1697.64</v>
      </c>
      <c r="H96" s="8">
        <f>IFERROR(G96/F96,"")</f>
        <v>0.16722222222222224</v>
      </c>
      <c r="I96" s="18">
        <f>IFERROR(((E96/$B$112) / AVERAGE('V25'!E96/'V25'!$B$112, 'V26'!E96/'V26'!$B$112, 'V27'!E96/'V27'!$B$112, 'V28'!E96/'V28'!$B$112, 'V29'!E96/'V29'!$B$112, 'V30'!E96/'V30'!$B$112, 'V31'!E96/'V31'!$B$112, 'V32'!E96/'V32'!$B$112)) * 100,"")</f>
        <v>110.47030483174301</v>
      </c>
      <c r="J96" s="18">
        <f>IFERROR(((F96/$B$112) / AVERAGE('V25'!F96/'V25'!$B$112, 'V26'!F96/'V26'!$B$112, 'V27'!F96/'V27'!$B$112, 'V28'!F96/'V28'!$B$112, 'V29'!F96/'V29'!$B$112, 'V30'!F96/'V30'!$B$112, 'V31'!F96/'V31'!$B$112, 'V32'!F96/'V32'!$B$112)) * 100,"")</f>
        <v>110.48297182836764</v>
      </c>
      <c r="K96" s="18">
        <f>IFERROR(((G96/$B$112) / AVERAGE('V25'!G96/'V25'!$B$112, 'V26'!G96/'V26'!$B$112, 'V27'!G96/'V27'!$B$112, 'V28'!G96/'V28'!$B$112, 'V29'!G96/'V29'!$B$112, 'V30'!G96/'V30'!$B$112, 'V31'!G96/'V31'!$B$112, 'V32'!G96/'V32'!$B$112)) * 100,"")</f>
        <v>109.44430418698632</v>
      </c>
    </row>
    <row r="97" spans="2:8">
      <c r="C97" s="2" t="s">
        <v>84</v>
      </c>
    </row>
    <row r="98" spans="2:8">
      <c r="C98" s="2" t="s">
        <v>85</v>
      </c>
    </row>
    <row r="99" spans="2:8">
      <c r="C99" s="2" t="s">
        <v>86</v>
      </c>
    </row>
    <row r="100" spans="2:8">
      <c r="C100" s="9" t="s">
        <v>19</v>
      </c>
      <c r="D100" s="10"/>
      <c r="E100" s="11">
        <f>SUM(E96:E99)</f>
        <v>282</v>
      </c>
      <c r="F100" s="11">
        <f>SUM(F96:F99)</f>
        <v>10152</v>
      </c>
      <c r="G100" s="11">
        <f>SUM(G96:G99)</f>
        <v>1697.64</v>
      </c>
      <c r="H100" s="12">
        <f>IFERROR(G100/F100,"")</f>
        <v>0.16722222222222224</v>
      </c>
    </row>
    <row r="101" spans="2:8">
      <c r="B101" s="5" t="s">
        <v>20</v>
      </c>
      <c r="E101" s="16">
        <f>IFERROR((E100-('V32'!E100))/('V32'!E100),"")</f>
        <v>6.0150375939849621E-2</v>
      </c>
      <c r="F101" s="16">
        <f>IFERROR((F100-('V32'!F100))/('V32'!F100),"")</f>
        <v>6.0150375939849621E-2</v>
      </c>
      <c r="G101" s="16">
        <f>IFERROR((G100-('V32'!G100))/('V32'!G100),"")</f>
        <v>6.0150375939849732E-2</v>
      </c>
      <c r="H101" s="16">
        <f>IFERROR(H100-('V32'!H100),"")</f>
        <v>2.7755575615628914E-17</v>
      </c>
    </row>
    <row r="102" spans="2:8">
      <c r="B102" s="5" t="s">
        <v>21</v>
      </c>
      <c r="E102" s="13">
        <f>E100/$B$112</f>
        <v>1.5229248798401469E-2</v>
      </c>
      <c r="F102" s="13">
        <f>F100/$B$112</f>
        <v>0.54825295674245289</v>
      </c>
      <c r="G102" s="13">
        <f>G100/$B$112</f>
        <v>9.168007776637685E-2</v>
      </c>
    </row>
    <row r="103" spans="2:8">
      <c r="B103" s="5" t="s">
        <v>22</v>
      </c>
      <c r="E103" s="8">
        <f>IFERROR((E102-'V32'!E102)/'V32'!E102,"")</f>
        <v>6.9883354495218944E-2</v>
      </c>
      <c r="F103" s="8">
        <f>IFERROR((F102-'V32'!F102)/'V32'!F102,"")</f>
        <v>6.988335449521893E-2</v>
      </c>
      <c r="G103" s="8">
        <f>IFERROR((G102-'V32'!G102)/'V32'!G102,"")</f>
        <v>6.988335449521911E-2</v>
      </c>
    </row>
    <row r="104" spans="2:8">
      <c r="B104" s="5" t="s">
        <v>23</v>
      </c>
      <c r="E104" s="18">
        <f>(E102 / AVERAGE('V25'!E102,'V26'!E102,'V27'!E102,'V28'!E102,'V29'!E102,'V30'!E102,'V31'!E102,'V32'!E102)) * 100</f>
        <v>110.47030483174301</v>
      </c>
      <c r="F104" s="18">
        <f>(F102 / AVERAGE('V25'!F102,'V26'!F102,'V27'!F102,'V28'!F102,'V29'!F102,'V30'!F102,'V31'!F102,'V32'!F102)) * 100</f>
        <v>110.48297182836764</v>
      </c>
      <c r="G104" s="18">
        <f>(G102 / AVERAGE('V25'!G102,'V26'!G102,'V27'!G102,'V28'!G102,'V29'!G102,'V30'!G102,'V31'!G102,'V32'!G102)) * 100</f>
        <v>109.44430418698632</v>
      </c>
      <c r="H104" s="14">
        <f>IFERROR((G104*0.6)+(F104*0.4),"")</f>
        <v>109.85977124353883</v>
      </c>
    </row>
    <row r="106" spans="2:8">
      <c r="B106" s="2" t="s">
        <v>87</v>
      </c>
      <c r="E106" s="15">
        <f>E10+E20+E30+E40+E50+E60+E70+E80+E90+E100</f>
        <v>2809</v>
      </c>
      <c r="F106" s="15">
        <f>F10+F20+F30+F40+F50+F60+F70+F80+F90+F100</f>
        <v>92259.839999999997</v>
      </c>
      <c r="G106" s="15">
        <f>G10+G20+G30+G40+G50+G60+G70+G80+G90+G100</f>
        <v>15657.32</v>
      </c>
      <c r="H106" s="16">
        <f>IFERROR(G106/F106,"")</f>
        <v>0.16970894378312384</v>
      </c>
    </row>
    <row r="107" spans="2:8">
      <c r="B107" s="5" t="s">
        <v>88</v>
      </c>
      <c r="E107" s="16">
        <f>IFERROR((E106-'V32'!E106)/'V32'!E106,"")</f>
        <v>0.14233428222854819</v>
      </c>
      <c r="F107" s="16">
        <f>IFERROR((F106-'V32'!F106)/'V32'!F106,"")</f>
        <v>8.0959888421688012E-2</v>
      </c>
      <c r="G107" s="16">
        <f>IFERROR((G106-'V32'!G106)/'V32'!G106,"")</f>
        <v>-5.7167356750416135E-2</v>
      </c>
      <c r="H107" s="16">
        <f>IFERROR(H106-'V32'!H106,"")</f>
        <v>-2.4862767590477924E-2</v>
      </c>
    </row>
    <row r="108" spans="2:8">
      <c r="B108" s="5" t="s">
        <v>21</v>
      </c>
      <c r="E108" s="13">
        <f>E106/$B$112</f>
        <v>0.15169843927202031</v>
      </c>
      <c r="F108" s="13">
        <f>F106/$B$112</f>
        <v>4.9824399200734462</v>
      </c>
      <c r="G108" s="13">
        <f>G106/$B$112</f>
        <v>0.84556461629853641</v>
      </c>
    </row>
    <row r="109" spans="2:8">
      <c r="B109" s="5" t="s">
        <v>22</v>
      </c>
      <c r="E109" s="8">
        <f>IFERROR((E108-'V32'!E108)/'V32'!E108,"")</f>
        <v>0.15282177091347857</v>
      </c>
      <c r="F109" s="8">
        <f>IFERROR((F108-'V32'!F108)/'V32'!F108,"")</f>
        <v>9.0883913967493929E-2</v>
      </c>
      <c r="G109" s="8">
        <f>IFERROR((G108-'V32'!G108)/'V32'!G108,"")</f>
        <v>-4.8511443300482078E-2</v>
      </c>
    </row>
    <row r="110" spans="2:8">
      <c r="B110" s="5" t="s">
        <v>23</v>
      </c>
      <c r="E110" s="18">
        <f>IFERROR((E108 / AVERAGE('V25'!E108,'V26'!E108,'V27'!E108,'V28'!E108,'V29'!E108,'V30'!E108,'V31'!E108,'V32'!E108)) * 100,"")</f>
        <v>119.41775390180325</v>
      </c>
      <c r="F110" s="18">
        <f>IFERROR((F108 / AVERAGE('V25'!F108,'V26'!F108,'V27'!F108,'V28'!F108,'V29'!F108,'V30'!F108,'V31'!F108,'V32'!F108)) * 100,"")</f>
        <v>113.84818661890081</v>
      </c>
      <c r="G110" s="18">
        <f>IFERROR((G108 / AVERAGE('V25'!G108,'V26'!G108,'V27'!G108,'V28'!G108,'V29'!G108,'V30'!G108,'V31'!G108,'V32'!G108)) * 100,"")</f>
        <v>106.35839881254634</v>
      </c>
      <c r="H110" s="14">
        <f>IFERROR((G110*0.6)+(F110*0.4),"")</f>
        <v>109.35431393508813</v>
      </c>
    </row>
    <row r="111" spans="2:8">
      <c r="B111" s="5" t="s">
        <v>89</v>
      </c>
      <c r="C111" s="5" t="s">
        <v>90</v>
      </c>
      <c r="D111" s="5" t="s">
        <v>91</v>
      </c>
    </row>
    <row r="112" spans="2:8">
      <c r="B112" s="17">
        <v>18517</v>
      </c>
      <c r="C112" s="17">
        <f>B112-'V32'!$B$112</f>
        <v>-170</v>
      </c>
      <c r="D112" s="19">
        <f>C112/'V32'!$B$112</f>
        <v>-9.0972333707925301E-3</v>
      </c>
    </row>
  </sheetData>
  <conditionalFormatting sqref="E11:G11">
    <cfRule type="cellIs" dxfId="219" priority="1" operator="lessThan">
      <formula>0</formula>
    </cfRule>
    <cfRule type="cellIs" dxfId="218" priority="2" operator="greaterThan">
      <formula>0</formula>
    </cfRule>
  </conditionalFormatting>
  <conditionalFormatting sqref="E21:G21">
    <cfRule type="cellIs" dxfId="217" priority="3" operator="lessThan">
      <formula>0</formula>
    </cfRule>
    <cfRule type="cellIs" dxfId="216" priority="4" operator="greaterThan">
      <formula>0</formula>
    </cfRule>
  </conditionalFormatting>
  <conditionalFormatting sqref="E31:G31">
    <cfRule type="cellIs" dxfId="215" priority="5" operator="lessThan">
      <formula>0</formula>
    </cfRule>
    <cfRule type="cellIs" dxfId="214" priority="6" operator="greaterThan">
      <formula>0</formula>
    </cfRule>
  </conditionalFormatting>
  <conditionalFormatting sqref="E41:G41">
    <cfRule type="cellIs" dxfId="213" priority="7" operator="lessThan">
      <formula>0</formula>
    </cfRule>
    <cfRule type="cellIs" dxfId="212" priority="8" operator="greaterThan">
      <formula>0</formula>
    </cfRule>
  </conditionalFormatting>
  <conditionalFormatting sqref="E51:G51">
    <cfRule type="cellIs" dxfId="211" priority="9" operator="lessThan">
      <formula>0</formula>
    </cfRule>
    <cfRule type="cellIs" dxfId="210" priority="10" operator="greaterThan">
      <formula>0</formula>
    </cfRule>
  </conditionalFormatting>
  <conditionalFormatting sqref="E61:G61">
    <cfRule type="cellIs" dxfId="209" priority="11" operator="lessThan">
      <formula>0</formula>
    </cfRule>
    <cfRule type="cellIs" dxfId="208" priority="12" operator="greaterThan">
      <formula>0</formula>
    </cfRule>
  </conditionalFormatting>
  <conditionalFormatting sqref="E71:G71">
    <cfRule type="cellIs" dxfId="207" priority="13" operator="lessThan">
      <formula>0</formula>
    </cfRule>
    <cfRule type="cellIs" dxfId="206" priority="14" operator="greaterThan">
      <formula>0</formula>
    </cfRule>
  </conditionalFormatting>
  <conditionalFormatting sqref="E81:G81">
    <cfRule type="cellIs" dxfId="205" priority="15" operator="lessThan">
      <formula>0</formula>
    </cfRule>
    <cfRule type="cellIs" dxfId="204" priority="16" operator="greaterThan">
      <formula>0</formula>
    </cfRule>
  </conditionalFormatting>
  <conditionalFormatting sqref="E91:G91">
    <cfRule type="cellIs" dxfId="203" priority="17" operator="lessThan">
      <formula>0</formula>
    </cfRule>
    <cfRule type="cellIs" dxfId="202" priority="18" operator="greaterThan">
      <formula>0</formula>
    </cfRule>
  </conditionalFormatting>
  <conditionalFormatting sqref="E101:G101">
    <cfRule type="cellIs" dxfId="201" priority="19" operator="lessThan">
      <formula>0</formula>
    </cfRule>
    <cfRule type="cellIs" dxfId="200" priority="20" operator="greaterThan">
      <formula>0</formula>
    </cfRule>
  </conditionalFormatting>
  <conditionalFormatting sqref="E107:G107">
    <cfRule type="cellIs" dxfId="199" priority="21" operator="lessThan">
      <formula>0</formula>
    </cfRule>
    <cfRule type="cellIs" dxfId="198" priority="22" operator="greaterThan">
      <formula>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12"/>
  <sheetViews>
    <sheetView zoomScaleNormal="100" zoomScaleSheetLayoutView="100" workbookViewId="0"/>
  </sheetViews>
  <sheetFormatPr defaultRowHeight="15"/>
  <cols>
    <col min="2" max="2" width="16" customWidth="1"/>
    <col min="4" max="4" width="26" customWidth="1"/>
    <col min="5" max="5" width="10" customWidth="1"/>
    <col min="6" max="7" width="12" customWidth="1"/>
    <col min="8" max="8" width="10" customWidth="1"/>
    <col min="9" max="11" width="12" customWidth="1"/>
  </cols>
  <sheetData>
    <row r="1" spans="1:11">
      <c r="A1" s="1" t="s">
        <v>0</v>
      </c>
    </row>
    <row r="3" spans="1:11">
      <c r="C3" s="2" t="s">
        <v>116</v>
      </c>
    </row>
    <row r="4" spans="1:11">
      <c r="C4" s="3" t="s">
        <v>117</v>
      </c>
      <c r="I4" s="4">
        <v>34</v>
      </c>
      <c r="J4" s="5" t="s">
        <v>3</v>
      </c>
    </row>
    <row r="5" spans="1:11">
      <c r="A5" s="1">
        <v>1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</row>
    <row r="6" spans="1:11">
      <c r="B6" s="6" t="s">
        <v>104</v>
      </c>
      <c r="C6" s="2" t="s">
        <v>14</v>
      </c>
      <c r="D6" s="5" t="s">
        <v>105</v>
      </c>
      <c r="E6" s="7">
        <v>113</v>
      </c>
      <c r="F6" s="7">
        <v>8870.4</v>
      </c>
      <c r="G6" s="7">
        <v>1838.61</v>
      </c>
      <c r="H6" s="8">
        <f>IFERROR(G6/F6,"")</f>
        <v>0.20727475649350649</v>
      </c>
      <c r="I6" s="18">
        <f>IFERROR(((E6/$B$112) / AVERAGE('V25'!E6/'V25'!$B$112, 'V26'!E6/'V26'!$B$112, 'V27'!E6/'V27'!$B$112, 'V28'!E6/'V28'!$B$112, 'V29'!E6/'V29'!$B$112, 'V30'!E6/'V30'!$B$112, 'V31'!E6/'V31'!$B$112, 'V32'!E6/'V32'!$B$112, 'V33'!E6/'V33'!$B$112)) * 100,"")</f>
        <v>86.633619881659968</v>
      </c>
      <c r="J6" s="18">
        <f>IFERROR(((F6/$B$112) / AVERAGE('V25'!F6/'V25'!$B$112, 'V26'!F6/'V26'!$B$112, 'V27'!F6/'V27'!$B$112, 'V28'!F6/'V28'!$B$112, 'V29'!F6/'V29'!$B$112, 'V30'!F6/'V30'!$B$112, 'V31'!F6/'V31'!$B$112, 'V32'!F6/'V32'!$B$112, 'V33'!F6/'V33'!$B$112)) * 100,"")</f>
        <v>94.700411757187837</v>
      </c>
      <c r="K6" s="18">
        <f>IFERROR(((G6/$B$112) / AVERAGE('V25'!G6/'V25'!$B$112, 'V26'!G6/'V26'!$B$112, 'V27'!G6/'V27'!$B$112, 'V28'!G6/'V28'!$B$112, 'V29'!G6/'V29'!$B$112, 'V30'!G6/'V30'!$B$112, 'V31'!G6/'V31'!$B$112, 'V32'!G6/'V32'!$B$112, 'V33'!G6/'V33'!$B$112)) * 100,"")</f>
        <v>89.090314081865003</v>
      </c>
    </row>
    <row r="7" spans="1:11">
      <c r="C7" s="2" t="s">
        <v>16</v>
      </c>
    </row>
    <row r="8" spans="1:11">
      <c r="C8" s="2" t="s">
        <v>17</v>
      </c>
    </row>
    <row r="9" spans="1:11">
      <c r="C9" s="2" t="s">
        <v>18</v>
      </c>
    </row>
    <row r="10" spans="1:11">
      <c r="C10" s="9" t="s">
        <v>19</v>
      </c>
      <c r="D10" s="10"/>
      <c r="E10" s="11">
        <f>SUM(E6:E9)</f>
        <v>113</v>
      </c>
      <c r="F10" s="11">
        <f>SUM(F6:F9)</f>
        <v>8870.4</v>
      </c>
      <c r="G10" s="11">
        <f>SUM(G6:G9)</f>
        <v>1838.61</v>
      </c>
      <c r="H10" s="12">
        <f>IFERROR(G10/F10,"")</f>
        <v>0.20727475649350649</v>
      </c>
    </row>
    <row r="11" spans="1:11">
      <c r="B11" s="5" t="s">
        <v>20</v>
      </c>
      <c r="E11" s="16">
        <f>IFERROR((E10-('V33'!E10))/('V33'!E10),"")</f>
        <v>-0.30674846625766872</v>
      </c>
      <c r="F11" s="16">
        <f>IFERROR((F10-('V33'!F10))/('V33'!F10),"")</f>
        <v>-0.24328714209181157</v>
      </c>
      <c r="G11" s="16">
        <f>IFERROR((G10-('V33'!G10))/('V33'!G10),"")</f>
        <v>0.88231741026638544</v>
      </c>
      <c r="H11" s="16">
        <f>IFERROR(H10-('V33'!H10),"")</f>
        <v>0.12394796341229704</v>
      </c>
    </row>
    <row r="12" spans="1:11">
      <c r="B12" s="5" t="s">
        <v>21</v>
      </c>
      <c r="E12" s="13">
        <f>E10/$B$112</f>
        <v>6.4405813622114561E-3</v>
      </c>
      <c r="F12" s="13">
        <f>F10/$B$112</f>
        <v>0.50557993730407524</v>
      </c>
      <c r="G12" s="13">
        <f>G10/$B$112</f>
        <v>0.10479395839270447</v>
      </c>
    </row>
    <row r="13" spans="1:11">
      <c r="B13" s="5" t="s">
        <v>22</v>
      </c>
      <c r="E13" s="8">
        <f>IFERROR((E12-'V33'!E12)/'V33'!E12,"")</f>
        <v>-0.26834205469896</v>
      </c>
      <c r="F13" s="8">
        <f>IFERROR((F12-'V33'!F12)/'V33'!F12,"")</f>
        <v>-0.2013649478548917</v>
      </c>
      <c r="G13" s="8">
        <f>IFERROR((G12-'V33'!G12)/'V33'!G12,"")</f>
        <v>0.98659854579097506</v>
      </c>
    </row>
    <row r="14" spans="1:11">
      <c r="B14" s="5" t="s">
        <v>23</v>
      </c>
      <c r="E14" s="18">
        <f>(E12 / AVERAGE('V25'!E12,'V26'!E12,'V27'!E12,'V28'!E12,'V29'!E12,'V30'!E12,'V31'!E12,'V32'!E12,'V33'!E12)) * 100</f>
        <v>86.633619881659968</v>
      </c>
      <c r="F14" s="18">
        <f>(F12 / AVERAGE('V25'!F12,'V26'!F12,'V27'!F12,'V28'!F12,'V29'!F12,'V30'!F12,'V31'!F12,'V32'!F12,'V33'!F12)) * 100</f>
        <v>94.700411757187837</v>
      </c>
      <c r="G14" s="18">
        <f>(G12 / AVERAGE('V25'!G12,'V26'!G12,'V27'!G12,'V28'!G12,'V29'!G12,'V30'!G12,'V31'!G12,'V32'!G12,'V33'!G12)) * 100</f>
        <v>89.090314081865003</v>
      </c>
      <c r="H14" s="14">
        <f>IFERROR((G14*0.6)+(F14*0.4),"")</f>
        <v>91.334353151994137</v>
      </c>
    </row>
    <row r="15" spans="1:11">
      <c r="A15" s="1">
        <v>2</v>
      </c>
      <c r="C15" s="2" t="s">
        <v>24</v>
      </c>
      <c r="D15" s="2" t="s">
        <v>5</v>
      </c>
      <c r="E15" s="2" t="s">
        <v>6</v>
      </c>
      <c r="F15" s="2" t="s">
        <v>7</v>
      </c>
      <c r="G15" s="2" t="s">
        <v>8</v>
      </c>
      <c r="H15" s="2" t="s">
        <v>9</v>
      </c>
      <c r="I15" s="2" t="s">
        <v>10</v>
      </c>
      <c r="J15" s="2" t="s">
        <v>11</v>
      </c>
      <c r="K15" s="2" t="s">
        <v>12</v>
      </c>
    </row>
    <row r="16" spans="1:11">
      <c r="B16" s="6" t="s">
        <v>25</v>
      </c>
      <c r="C16" s="2" t="s">
        <v>26</v>
      </c>
      <c r="D16" s="5" t="s">
        <v>27</v>
      </c>
      <c r="E16" s="7">
        <v>269</v>
      </c>
      <c r="F16" s="7">
        <v>4293.24</v>
      </c>
      <c r="G16" s="7">
        <v>540.69000000000005</v>
      </c>
      <c r="H16" s="8">
        <f>IFERROR(G16/F16,"")</f>
        <v>0.12593984962406016</v>
      </c>
      <c r="I16" s="18">
        <f>IFERROR(((E16/$B$112) / AVERAGE('V25'!E16/'V25'!$B$112, 'V26'!E16/'V26'!$B$112, 'V27'!E16/'V27'!$B$112, 'V28'!E16/'V28'!$B$112, 'V29'!E16/'V29'!$B$112, 'V30'!E16/'V30'!$B$112, 'V31'!E16/'V31'!$B$112, 'V32'!E16/'V32'!$B$112, 'V33'!E16/'V33'!$B$112)) * 100,"")</f>
        <v>167.92037559882013</v>
      </c>
      <c r="J16" s="18">
        <f>IFERROR(((F16/$B$112) / AVERAGE('V25'!F16/'V25'!$B$112, 'V26'!F16/'V26'!$B$112, 'V27'!F16/'V27'!$B$112, 'V28'!F16/'V28'!$B$112, 'V29'!F16/'V29'!$B$112, 'V30'!F16/'V30'!$B$112, 'V31'!F16/'V31'!$B$112, 'V32'!F16/'V32'!$B$112, 'V33'!F16/'V33'!$B$112)) * 100,"")</f>
        <v>136.98515345862776</v>
      </c>
      <c r="K16" s="18">
        <f>IFERROR(((G16/$B$112) / AVERAGE('V25'!G16/'V25'!$B$112, 'V26'!G16/'V26'!$B$112, 'V27'!G16/'V27'!$B$112, 'V28'!G16/'V28'!$B$112, 'V29'!G16/'V29'!$B$112, 'V30'!G16/'V30'!$B$112, 'V31'!G16/'V31'!$B$112, 'V32'!G16/'V32'!$B$112, 'V33'!G16/'V33'!$B$112)) * 100,"")</f>
        <v>88.400033023014473</v>
      </c>
    </row>
    <row r="17" spans="1:11">
      <c r="C17" s="2" t="s">
        <v>28</v>
      </c>
    </row>
    <row r="18" spans="1:11">
      <c r="C18" s="2" t="s">
        <v>29</v>
      </c>
    </row>
    <row r="19" spans="1:11">
      <c r="C19" s="2" t="s">
        <v>30</v>
      </c>
    </row>
    <row r="20" spans="1:11">
      <c r="C20" s="9" t="s">
        <v>19</v>
      </c>
      <c r="D20" s="10"/>
      <c r="E20" s="11">
        <f>SUM(E16:E19)</f>
        <v>269</v>
      </c>
      <c r="F20" s="11">
        <f>SUM(F16:F19)</f>
        <v>4293.24</v>
      </c>
      <c r="G20" s="11">
        <f>SUM(G16:G19)</f>
        <v>540.69000000000005</v>
      </c>
      <c r="H20" s="12">
        <f>IFERROR(G20/F20,"")</f>
        <v>0.12593984962406016</v>
      </c>
    </row>
    <row r="21" spans="1:11">
      <c r="B21" s="5" t="s">
        <v>20</v>
      </c>
      <c r="E21" s="16">
        <f>IFERROR((E20-('V33'!E20))/('V33'!E20),"")</f>
        <v>0.35858585858585856</v>
      </c>
      <c r="F21" s="16">
        <f>IFERROR((F20-('V33'!F20))/('V33'!F20),"")</f>
        <v>0.34160395990100245</v>
      </c>
      <c r="G21" s="16">
        <f>IFERROR((G20-('V33'!G20))/('V33'!G20),"")</f>
        <v>0.2935786401263219</v>
      </c>
      <c r="H21" s="16">
        <f>IFERROR(H20-('V33'!H20),"")</f>
        <v>-4.6756349888245341E-3</v>
      </c>
    </row>
    <row r="22" spans="1:11">
      <c r="B22" s="5" t="s">
        <v>21</v>
      </c>
      <c r="E22" s="13">
        <f>E20/$B$112</f>
        <v>1.5332003419777715E-2</v>
      </c>
      <c r="F22" s="13">
        <f>F20/$B$112</f>
        <v>0.24469877457965231</v>
      </c>
      <c r="G22" s="13">
        <f>G20/$B$112</f>
        <v>3.0817326873753208E-2</v>
      </c>
    </row>
    <row r="23" spans="1:11">
      <c r="B23" s="5" t="s">
        <v>22</v>
      </c>
      <c r="E23" s="8">
        <f>IFERROR((E22-'V33'!E22)/'V33'!E22,"")</f>
        <v>0.43385205719204001</v>
      </c>
      <c r="F23" s="8">
        <f>IFERROR((F22-'V33'!F22)/'V33'!F22,"")</f>
        <v>0.41592935454470564</v>
      </c>
      <c r="G23" s="8">
        <f>IFERROR((G22-'V33'!G22)/'V33'!G22,"")</f>
        <v>0.36524341289365064</v>
      </c>
    </row>
    <row r="24" spans="1:11">
      <c r="B24" s="5" t="s">
        <v>23</v>
      </c>
      <c r="E24" s="18">
        <f>(E22 / AVERAGE('V25'!E22,'V26'!E22,'V27'!E22,'V28'!E22,'V29'!E22,'V30'!E22,'V31'!E22,'V32'!E22,'V33'!E22)) * 100</f>
        <v>167.92037559882013</v>
      </c>
      <c r="F24" s="18">
        <f>(F22 / AVERAGE('V25'!F22,'V26'!F22,'V27'!F22,'V28'!F22,'V29'!F22,'V30'!F22,'V31'!F22,'V32'!F22,'V33'!F22)) * 100</f>
        <v>136.98515345862776</v>
      </c>
      <c r="G24" s="18">
        <f>(G22 / AVERAGE('V25'!G22,'V26'!G22,'V27'!G22,'V28'!G22,'V29'!G22,'V30'!G22,'V31'!G22,'V32'!G22,'V33'!G22)) * 100</f>
        <v>88.400033023014473</v>
      </c>
      <c r="H24" s="14">
        <f>IFERROR((G24*0.6)+(F24*0.4),"")</f>
        <v>107.83408119725979</v>
      </c>
    </row>
    <row r="25" spans="1:11">
      <c r="A25" s="1">
        <v>3</v>
      </c>
      <c r="C25" s="2" t="s">
        <v>31</v>
      </c>
      <c r="D25" s="2" t="s">
        <v>5</v>
      </c>
      <c r="E25" s="2" t="s">
        <v>6</v>
      </c>
      <c r="F25" s="2" t="s">
        <v>7</v>
      </c>
      <c r="G25" s="2" t="s">
        <v>8</v>
      </c>
      <c r="H25" s="2" t="s">
        <v>9</v>
      </c>
      <c r="I25" s="2" t="s">
        <v>10</v>
      </c>
      <c r="J25" s="2" t="s">
        <v>11</v>
      </c>
      <c r="K25" s="2" t="s">
        <v>12</v>
      </c>
    </row>
    <row r="26" spans="1:11">
      <c r="B26" s="6" t="s">
        <v>32</v>
      </c>
      <c r="C26" s="2" t="s">
        <v>33</v>
      </c>
      <c r="D26" s="5" t="s">
        <v>34</v>
      </c>
      <c r="E26" s="7">
        <v>632</v>
      </c>
      <c r="F26" s="7">
        <v>14930.76</v>
      </c>
      <c r="G26" s="7">
        <v>3296.04</v>
      </c>
      <c r="H26" s="8">
        <f>IFERROR(G26/F26,"")</f>
        <v>0.22075500510355803</v>
      </c>
      <c r="I26" s="18">
        <f>IFERROR(((E26/$B$112) / AVERAGE('V25'!E26/'V25'!$B$112, 'V26'!E26/'V26'!$B$112, 'V27'!E26/'V27'!$B$112, 'V28'!E26/'V28'!$B$112, 'V29'!E26/'V29'!$B$112, 'V30'!E26/'V30'!$B$112, 'V31'!E26/'V31'!$B$112, 'V32'!E26/'V32'!$B$112, 'V33'!E26/'V33'!$B$112)) * 100,"")</f>
        <v>117.13968143211207</v>
      </c>
      <c r="J26" s="18">
        <f>IFERROR(((F26/$B$112) / AVERAGE('V25'!F26/'V25'!$B$112, 'V26'!F26/'V26'!$B$112, 'V27'!F26/'V27'!$B$112, 'V28'!F26/'V28'!$B$112, 'V29'!F26/'V29'!$B$112, 'V30'!F26/'V30'!$B$112, 'V31'!F26/'V31'!$B$112, 'V32'!F26/'V32'!$B$112, 'V33'!F26/'V33'!$B$112)) * 100,"")</f>
        <v>117.12986106583583</v>
      </c>
      <c r="K26" s="18">
        <f>IFERROR(((G26/$B$112) / AVERAGE('V25'!G26/'V25'!$B$112, 'V26'!G26/'V26'!$B$112, 'V27'!G26/'V27'!$B$112, 'V28'!G26/'V28'!$B$112, 'V29'!G26/'V29'!$B$112, 'V30'!G26/'V30'!$B$112, 'V31'!G26/'V31'!$B$112, 'V32'!G26/'V32'!$B$112, 'V33'!G26/'V33'!$B$112)) * 100,"")</f>
        <v>117.3852978143495</v>
      </c>
    </row>
    <row r="27" spans="1:11">
      <c r="C27" s="2" t="s">
        <v>35</v>
      </c>
    </row>
    <row r="28" spans="1:11">
      <c r="C28" s="2" t="s">
        <v>36</v>
      </c>
    </row>
    <row r="29" spans="1:11">
      <c r="C29" s="2" t="s">
        <v>37</v>
      </c>
    </row>
    <row r="30" spans="1:11">
      <c r="C30" s="9" t="s">
        <v>19</v>
      </c>
      <c r="D30" s="10"/>
      <c r="E30" s="11">
        <f>SUM(E26:E29)</f>
        <v>632</v>
      </c>
      <c r="F30" s="11">
        <f>SUM(F26:F29)</f>
        <v>14930.76</v>
      </c>
      <c r="G30" s="11">
        <f>SUM(G26:G29)</f>
        <v>3296.04</v>
      </c>
      <c r="H30" s="12">
        <f>IFERROR(G30/F30,"")</f>
        <v>0.22075500510355803</v>
      </c>
    </row>
    <row r="31" spans="1:11">
      <c r="B31" s="5" t="s">
        <v>20</v>
      </c>
      <c r="E31" s="16">
        <f>IFERROR((E30-('V33'!E30))/('V33'!E30),"")</f>
        <v>-6.9219440353460976E-2</v>
      </c>
      <c r="F31" s="16">
        <f>IFERROR((F30-('V33'!F30))/('V33'!F30),"")</f>
        <v>-6.9493401404974744E-2</v>
      </c>
      <c r="G31" s="16">
        <f>IFERROR((G30-('V33'!G30))/('V33'!G30),"")</f>
        <v>-6.2106251600603311E-2</v>
      </c>
      <c r="H31" s="16">
        <f>IFERROR(H30-('V33'!H30),"")</f>
        <v>1.7387367124984121E-3</v>
      </c>
    </row>
    <row r="32" spans="1:11">
      <c r="B32" s="5" t="s">
        <v>21</v>
      </c>
      <c r="E32" s="13">
        <f>E30/$B$112</f>
        <v>3.6021658592191509E-2</v>
      </c>
      <c r="F32" s="13">
        <f>F30/$B$112</f>
        <v>0.85099800512966661</v>
      </c>
      <c r="G32" s="13">
        <f>G30/$B$112</f>
        <v>0.18786206896551724</v>
      </c>
    </row>
    <row r="33" spans="1:11">
      <c r="B33" s="5" t="s">
        <v>22</v>
      </c>
      <c r="E33" s="8">
        <f>IFERROR((E32-'V33'!E32)/'V33'!E32,"")</f>
        <v>-1.7653825991737503E-2</v>
      </c>
      <c r="F33" s="8">
        <f>IFERROR((F32-'V33'!F32)/'V33'!F32,"")</f>
        <v>-1.7942964594808649E-2</v>
      </c>
      <c r="G33" s="8">
        <f>IFERROR((G32-'V33'!G32)/'V33'!G32,"")</f>
        <v>-1.0146563743993834E-2</v>
      </c>
    </row>
    <row r="34" spans="1:11">
      <c r="B34" s="5" t="s">
        <v>23</v>
      </c>
      <c r="E34" s="18">
        <f>(E32 / AVERAGE('V25'!E32,'V26'!E32,'V27'!E32,'V28'!E32,'V29'!E32,'V30'!E32,'V31'!E32,'V32'!E32,'V33'!E32)) * 100</f>
        <v>117.13968143211207</v>
      </c>
      <c r="F34" s="18">
        <f>(F32 / AVERAGE('V25'!F32,'V26'!F32,'V27'!F32,'V28'!F32,'V29'!F32,'V30'!F32,'V31'!F32,'V32'!F32,'V33'!F32)) * 100</f>
        <v>117.12986106583583</v>
      </c>
      <c r="G34" s="18">
        <f>(G32 / AVERAGE('V25'!G32,'V26'!G32,'V27'!G32,'V28'!G32,'V29'!G32,'V30'!G32,'V31'!G32,'V32'!G32,'V33'!G32)) * 100</f>
        <v>117.3852978143495</v>
      </c>
      <c r="H34" s="14">
        <f>IFERROR((G34*0.6)+(F34*0.4),"")</f>
        <v>117.28312311494403</v>
      </c>
    </row>
    <row r="35" spans="1:11">
      <c r="A35" s="1">
        <v>4</v>
      </c>
      <c r="C35" s="2" t="s">
        <v>38</v>
      </c>
      <c r="D35" s="2" t="s">
        <v>5</v>
      </c>
      <c r="E35" s="2" t="s">
        <v>6</v>
      </c>
      <c r="F35" s="2" t="s">
        <v>7</v>
      </c>
      <c r="G35" s="2" t="s">
        <v>8</v>
      </c>
      <c r="H35" s="2" t="s">
        <v>9</v>
      </c>
      <c r="I35" s="2" t="s">
        <v>10</v>
      </c>
      <c r="J35" s="2" t="s">
        <v>11</v>
      </c>
      <c r="K35" s="2" t="s">
        <v>12</v>
      </c>
    </row>
    <row r="36" spans="1:11">
      <c r="B36" s="6" t="s">
        <v>39</v>
      </c>
      <c r="C36" s="2" t="s">
        <v>40</v>
      </c>
      <c r="D36" s="5" t="s">
        <v>41</v>
      </c>
      <c r="E36" s="7">
        <v>567</v>
      </c>
      <c r="F36" s="7">
        <v>13389.28</v>
      </c>
      <c r="G36" s="7">
        <v>2998.48</v>
      </c>
      <c r="H36" s="8">
        <f>IFERROR(G36/F36,"")</f>
        <v>0.22394632123609334</v>
      </c>
      <c r="I36" s="18">
        <f>IFERROR(((E36/$B$112) / AVERAGE('V25'!E36/'V25'!$B$112, 'V26'!E36/'V26'!$B$112, 'V27'!E36/'V27'!$B$112, 'V28'!E36/'V28'!$B$112, 'V29'!E36/'V29'!$B$112, 'V30'!E36/'V30'!$B$112, 'V31'!E36/'V31'!$B$112, 'V32'!E36/'V32'!$B$112, 'V33'!E36/'V33'!$B$112)) * 100,"")</f>
        <v>120.51692545826245</v>
      </c>
      <c r="J36" s="18">
        <f>IFERROR(((F36/$B$112) / AVERAGE('V25'!F36/'V25'!$B$112, 'V26'!F36/'V26'!$B$112, 'V27'!F36/'V27'!$B$112, 'V28'!F36/'V28'!$B$112, 'V29'!F36/'V29'!$B$112, 'V30'!F36/'V30'!$B$112, 'V31'!F36/'V31'!$B$112, 'V32'!F36/'V32'!$B$112, 'V33'!F36/'V33'!$B$112)) * 100,"")</f>
        <v>120.47329903169918</v>
      </c>
      <c r="K36" s="18">
        <f>IFERROR(((G36/$B$112) / AVERAGE('V25'!G36/'V25'!$B$112, 'V26'!G36/'V26'!$B$112, 'V27'!G36/'V27'!$B$112, 'V28'!G36/'V28'!$B$112, 'V29'!G36/'V29'!$B$112, 'V30'!G36/'V30'!$B$112, 'V31'!G36/'V31'!$B$112, 'V32'!G36/'V32'!$B$112, 'V33'!G36/'V33'!$B$112)) * 100,"")</f>
        <v>120.80492199432477</v>
      </c>
    </row>
    <row r="37" spans="1:11">
      <c r="C37" s="2" t="s">
        <v>42</v>
      </c>
    </row>
    <row r="38" spans="1:11">
      <c r="C38" s="2" t="s">
        <v>43</v>
      </c>
    </row>
    <row r="39" spans="1:11">
      <c r="C39" s="2" t="s">
        <v>44</v>
      </c>
    </row>
    <row r="40" spans="1:11">
      <c r="C40" s="9" t="s">
        <v>19</v>
      </c>
      <c r="D40" s="10"/>
      <c r="E40" s="11">
        <f>SUM(E36:E39)</f>
        <v>567</v>
      </c>
      <c r="F40" s="11">
        <f>SUM(F36:F39)</f>
        <v>13389.28</v>
      </c>
      <c r="G40" s="11">
        <f>SUM(G36:G39)</f>
        <v>2998.48</v>
      </c>
      <c r="H40" s="12">
        <f>IFERROR(G40/F40,"")</f>
        <v>0.22394632123609334</v>
      </c>
    </row>
    <row r="41" spans="1:11">
      <c r="B41" s="5" t="s">
        <v>20</v>
      </c>
      <c r="E41" s="16">
        <f>IFERROR((E40-('V33'!E40))/('V33'!E40),"")</f>
        <v>-3.5149384885764497E-3</v>
      </c>
      <c r="F41" s="16">
        <f>IFERROR((F40-('V33'!F40))/('V33'!F40),"")</f>
        <v>-3.9576030613397905E-3</v>
      </c>
      <c r="G41" s="16">
        <f>IFERROR((G40-('V33'!G40))/('V33'!G40),"")</f>
        <v>4.2706526091024964E-4</v>
      </c>
      <c r="H41" s="16">
        <f>IFERROR(H40-('V33'!H40),"")</f>
        <v>9.8151117128386645E-4</v>
      </c>
    </row>
    <row r="42" spans="1:11">
      <c r="B42" s="5" t="s">
        <v>21</v>
      </c>
      <c r="E42" s="13">
        <f>E40/$B$112</f>
        <v>3.2316899401538902E-2</v>
      </c>
      <c r="F42" s="13">
        <f>F40/$B$112</f>
        <v>0.76313935594186377</v>
      </c>
      <c r="G42" s="13">
        <f>G40/$B$112</f>
        <v>0.17090225135366202</v>
      </c>
    </row>
    <row r="43" spans="1:11">
      <c r="B43" s="5" t="s">
        <v>22</v>
      </c>
      <c r="E43" s="8">
        <f>IFERROR((E42-'V33'!E42)/'V33'!E42,"")</f>
        <v>5.169073149085382E-2</v>
      </c>
      <c r="F43" s="8">
        <f>IFERROR((F42-'V33'!F42)/'V33'!F42,"")</f>
        <v>5.1223543124147591E-2</v>
      </c>
      <c r="G43" s="8">
        <f>IFERROR((G42-'V33'!G42)/'V33'!G42,"")</f>
        <v>5.5851123820819443E-2</v>
      </c>
    </row>
    <row r="44" spans="1:11">
      <c r="B44" s="5" t="s">
        <v>23</v>
      </c>
      <c r="E44" s="18">
        <f>(E42 / AVERAGE('V25'!E42,'V26'!E42,'V27'!E42,'V28'!E42,'V29'!E42,'V30'!E42,'V31'!E42,'V32'!E42,'V33'!E42)) * 100</f>
        <v>120.51692545826245</v>
      </c>
      <c r="F44" s="18">
        <f>(F42 / AVERAGE('V25'!F42,'V26'!F42,'V27'!F42,'V28'!F42,'V29'!F42,'V30'!F42,'V31'!F42,'V32'!F42,'V33'!F42)) * 100</f>
        <v>120.47329903169918</v>
      </c>
      <c r="G44" s="18">
        <f>(G42 / AVERAGE('V25'!G42,'V26'!G42,'V27'!G42,'V28'!G42,'V29'!G42,'V30'!G42,'V31'!G42,'V32'!G42,'V33'!G42)) * 100</f>
        <v>120.80492199432477</v>
      </c>
      <c r="H44" s="14">
        <f>IFERROR((G44*0.6)+(F44*0.4),"")</f>
        <v>120.67227280927455</v>
      </c>
    </row>
    <row r="45" spans="1:11">
      <c r="A45" s="1">
        <v>5</v>
      </c>
      <c r="C45" s="2" t="s">
        <v>45</v>
      </c>
      <c r="D45" s="2" t="s">
        <v>5</v>
      </c>
      <c r="E45" s="2" t="s">
        <v>6</v>
      </c>
      <c r="F45" s="2" t="s">
        <v>7</v>
      </c>
      <c r="G45" s="2" t="s">
        <v>8</v>
      </c>
      <c r="H45" s="2" t="s">
        <v>9</v>
      </c>
      <c r="I45" s="2" t="s">
        <v>10</v>
      </c>
      <c r="J45" s="2" t="s">
        <v>11</v>
      </c>
      <c r="K45" s="2" t="s">
        <v>12</v>
      </c>
    </row>
    <row r="46" spans="1:11">
      <c r="B46" s="6" t="s">
        <v>46</v>
      </c>
      <c r="C46" s="2" t="s">
        <v>47</v>
      </c>
      <c r="D46" s="5" t="s">
        <v>48</v>
      </c>
      <c r="E46" s="7">
        <v>198</v>
      </c>
      <c r="F46" s="7">
        <v>15681.6</v>
      </c>
      <c r="G46" s="7">
        <v>1751.6</v>
      </c>
      <c r="H46" s="8">
        <f>IFERROR(G46/F46,"")</f>
        <v>0.11169778594021017</v>
      </c>
      <c r="I46" s="18">
        <f>IFERROR(((E46/$B$112) / AVERAGE('V25'!E46/'V25'!$B$112, 'V26'!E46/'V26'!$B$112, 'V27'!E46/'V27'!$B$112, 'V28'!E46/'V28'!$B$112, 'V29'!E46/'V29'!$B$112, 'V30'!E46/'V30'!$B$112, 'V31'!E46/'V31'!$B$112, 'V32'!E46/'V32'!$B$112, 'V33'!E46/'V33'!$B$112)) * 100,"")</f>
        <v>101.81818174575103</v>
      </c>
      <c r="J46" s="18">
        <f>IFERROR(((F46/$B$112) / AVERAGE('V25'!F46/'V25'!$B$112, 'V26'!F46/'V26'!$B$112, 'V27'!F46/'V27'!$B$112, 'V28'!F46/'V28'!$B$112, 'V29'!F46/'V29'!$B$112, 'V30'!F46/'V30'!$B$112, 'V31'!F46/'V31'!$B$112, 'V32'!F46/'V32'!$B$112, 'V33'!F46/'V33'!$B$112)) * 100,"")</f>
        <v>105.51356514929675</v>
      </c>
      <c r="K46" s="18">
        <f>IFERROR(((G46/$B$112) / AVERAGE('V25'!G46/'V25'!$B$112, 'V26'!G46/'V26'!$B$112, 'V27'!G46/'V27'!$B$112, 'V28'!G46/'V28'!$B$112, 'V29'!G46/'V29'!$B$112, 'V30'!G46/'V30'!$B$112, 'V31'!G46/'V31'!$B$112, 'V32'!G46/'V32'!$B$112, 'V33'!G46/'V33'!$B$112)) * 100,"")</f>
        <v>169.49598416363079</v>
      </c>
    </row>
    <row r="47" spans="1:11">
      <c r="C47" s="2" t="s">
        <v>49</v>
      </c>
    </row>
    <row r="48" spans="1:11">
      <c r="C48" s="2" t="s">
        <v>50</v>
      </c>
    </row>
    <row r="49" spans="1:11">
      <c r="C49" s="2" t="s">
        <v>51</v>
      </c>
    </row>
    <row r="50" spans="1:11">
      <c r="C50" s="9" t="s">
        <v>19</v>
      </c>
      <c r="D50" s="10"/>
      <c r="E50" s="11">
        <f>SUM(E46:E49)</f>
        <v>198</v>
      </c>
      <c r="F50" s="11">
        <f>SUM(F46:F49)</f>
        <v>15681.6</v>
      </c>
      <c r="G50" s="11">
        <f>SUM(G46:G49)</f>
        <v>1751.6</v>
      </c>
      <c r="H50" s="12">
        <f>IFERROR(G50/F50,"")</f>
        <v>0.11169778594021017</v>
      </c>
    </row>
    <row r="51" spans="1:11">
      <c r="B51" s="5" t="s">
        <v>20</v>
      </c>
      <c r="E51" s="16">
        <f>IFERROR((E50-('V33'!E50))/('V33'!E50),"")</f>
        <v>-2.4630541871921183E-2</v>
      </c>
      <c r="F51" s="16">
        <f>IFERROR((F50-('V33'!F50))/('V33'!F50),"")</f>
        <v>-2.4630541871921183E-2</v>
      </c>
      <c r="G51" s="16">
        <f>IFERROR((G50-('V33'!G50))/('V33'!G50),"")</f>
        <v>-2.5589675122385403E-2</v>
      </c>
      <c r="H51" s="16">
        <f>IFERROR(H50-('V33'!H50),"")</f>
        <v>-1.0994655717749824E-4</v>
      </c>
    </row>
    <row r="52" spans="1:11">
      <c r="B52" s="5" t="s">
        <v>21</v>
      </c>
      <c r="E52" s="13">
        <f>E50/$B$112</f>
        <v>1.128526645768025E-2</v>
      </c>
      <c r="F52" s="13">
        <f>F50/$B$112</f>
        <v>0.89379310344827589</v>
      </c>
      <c r="G52" s="13">
        <f>G50/$B$112</f>
        <v>9.9834710743801652E-2</v>
      </c>
    </row>
    <row r="53" spans="1:11">
      <c r="B53" s="5" t="s">
        <v>22</v>
      </c>
      <c r="E53" s="8">
        <f>IFERROR((E52-'V33'!E52)/'V33'!E52,"")</f>
        <v>2.9405315255493492E-2</v>
      </c>
      <c r="F53" s="8">
        <f>IFERROR((F52-'V33'!F52)/'V33'!F52,"")</f>
        <v>2.9405315255493673E-2</v>
      </c>
      <c r="G53" s="8">
        <f>IFERROR((G52-'V33'!G52)/'V33'!G52,"")</f>
        <v>2.8393045640284484E-2</v>
      </c>
    </row>
    <row r="54" spans="1:11">
      <c r="B54" s="5" t="s">
        <v>23</v>
      </c>
      <c r="E54" s="18">
        <f>(E52 / AVERAGE('V25'!E52,'V26'!E52,'V27'!E52,'V28'!E52,'V29'!E52,'V30'!E52,'V31'!E52,'V32'!E52,'V33'!E52)) * 100</f>
        <v>101.81818174575103</v>
      </c>
      <c r="F54" s="18">
        <f>(F52 / AVERAGE('V25'!F52,'V26'!F52,'V27'!F52,'V28'!F52,'V29'!F52,'V30'!F52,'V31'!F52,'V32'!F52,'V33'!F52)) * 100</f>
        <v>105.51356514929675</v>
      </c>
      <c r="G54" s="18">
        <f>(G52 / AVERAGE('V25'!G52,'V26'!G52,'V27'!G52,'V28'!G52,'V29'!G52,'V30'!G52,'V31'!G52,'V32'!G52,'V33'!G52)) * 100</f>
        <v>169.49598416363079</v>
      </c>
      <c r="H54" s="14">
        <f>IFERROR((G54*0.6)+(F54*0.4),"")</f>
        <v>143.90301655789716</v>
      </c>
    </row>
    <row r="55" spans="1:11">
      <c r="A55" s="1">
        <v>6</v>
      </c>
      <c r="C55" s="2" t="s">
        <v>52</v>
      </c>
      <c r="D55" s="2" t="s">
        <v>5</v>
      </c>
      <c r="E55" s="2" t="s">
        <v>6</v>
      </c>
      <c r="F55" s="2" t="s">
        <v>7</v>
      </c>
      <c r="G55" s="2" t="s">
        <v>8</v>
      </c>
      <c r="H55" s="2" t="s">
        <v>9</v>
      </c>
      <c r="I55" s="2" t="s">
        <v>10</v>
      </c>
      <c r="J55" s="2" t="s">
        <v>11</v>
      </c>
      <c r="K55" s="2" t="s">
        <v>12</v>
      </c>
    </row>
    <row r="56" spans="1:11">
      <c r="B56" s="6" t="s">
        <v>53</v>
      </c>
      <c r="C56" s="2" t="s">
        <v>54</v>
      </c>
      <c r="D56" s="5" t="s">
        <v>55</v>
      </c>
      <c r="E56" s="7">
        <v>250</v>
      </c>
      <c r="F56" s="7">
        <v>10190</v>
      </c>
      <c r="G56" s="7">
        <v>2190</v>
      </c>
      <c r="H56" s="8">
        <f>IFERROR(G56/F56,"")</f>
        <v>0.21491658488714427</v>
      </c>
      <c r="I56" s="18">
        <f>IFERROR(((E56/$B$112) / AVERAGE('V25'!E56/'V25'!$B$112, 'V26'!E56/'V26'!$B$112, 'V27'!E56/'V27'!$B$112, 'V28'!E56/'V28'!$B$112, 'V29'!E56/'V29'!$B$112, 'V30'!E56/'V30'!$B$112, 'V31'!E56/'V31'!$B$112, 'V32'!E56/'V32'!$B$112, 'V33'!E56/'V33'!$B$112)) * 100,"")</f>
        <v>147.1491828577403</v>
      </c>
      <c r="J56" s="18">
        <f>IFERROR(((F56/$B$112) / AVERAGE('V25'!F56/'V25'!$B$112, 'V26'!F56/'V26'!$B$112, 'V27'!F56/'V27'!$B$112, 'V28'!F56/'V28'!$B$112, 'V29'!F56/'V29'!$B$112, 'V30'!F56/'V30'!$B$112, 'V31'!F56/'V31'!$B$112, 'V32'!F56/'V32'!$B$112, 'V33'!F56/'V33'!$B$112)) * 100,"")</f>
        <v>147.15734229744555</v>
      </c>
      <c r="K56" s="18">
        <f>IFERROR(((G56/$B$112) / AVERAGE('V25'!G56/'V25'!$B$112, 'V26'!G56/'V26'!$B$112, 'V27'!G56/'V27'!$B$112, 'V28'!G56/'V28'!$B$112, 'V29'!G56/'V29'!$B$112, 'V30'!G56/'V30'!$B$112, 'V31'!G56/'V31'!$B$112, 'V32'!G56/'V32'!$B$112, 'V33'!G56/'V33'!$B$112)) * 100,"")</f>
        <v>148.53238809866113</v>
      </c>
    </row>
    <row r="57" spans="1:11">
      <c r="C57" s="2" t="s">
        <v>56</v>
      </c>
    </row>
    <row r="58" spans="1:11">
      <c r="C58" s="2" t="s">
        <v>57</v>
      </c>
    </row>
    <row r="59" spans="1:11">
      <c r="C59" s="2" t="s">
        <v>58</v>
      </c>
    </row>
    <row r="60" spans="1:11">
      <c r="C60" s="9" t="s">
        <v>19</v>
      </c>
      <c r="D60" s="10"/>
      <c r="E60" s="11">
        <f>SUM(E56:E59)</f>
        <v>250</v>
      </c>
      <c r="F60" s="11">
        <f>SUM(F56:F59)</f>
        <v>10190</v>
      </c>
      <c r="G60" s="11">
        <f>SUM(G56:G59)</f>
        <v>2190</v>
      </c>
      <c r="H60" s="12">
        <f>IFERROR(G60/F60,"")</f>
        <v>0.21491658488714427</v>
      </c>
    </row>
    <row r="61" spans="1:11">
      <c r="B61" s="5" t="s">
        <v>20</v>
      </c>
      <c r="E61" s="16">
        <f>IFERROR((E60-('V33'!E60))/('V33'!E60),"")</f>
        <v>0.36612021857923499</v>
      </c>
      <c r="F61" s="16">
        <f>IFERROR((F60-('V33'!F60))/('V33'!F60),"")</f>
        <v>0.36612021857923499</v>
      </c>
      <c r="G61" s="16">
        <f>IFERROR((G60-('V33'!G60))/('V33'!G60),"")</f>
        <v>0.48466523849553927</v>
      </c>
      <c r="H61" s="16">
        <f>IFERROR(H60-('V33'!H60),"")</f>
        <v>1.7160293226510526E-2</v>
      </c>
    </row>
    <row r="62" spans="1:11">
      <c r="B62" s="5" t="s">
        <v>21</v>
      </c>
      <c r="E62" s="13">
        <f>E60/$B$112</f>
        <v>1.4249073810202337E-2</v>
      </c>
      <c r="F62" s="13">
        <f>F60/$B$112</f>
        <v>0.58079224850384725</v>
      </c>
      <c r="G62" s="13">
        <f>G60/$B$112</f>
        <v>0.12482188657737248</v>
      </c>
    </row>
    <row r="63" spans="1:11">
      <c r="B63" s="5" t="s">
        <v>22</v>
      </c>
      <c r="E63" s="8">
        <f>IFERROR((E62-'V33'!E62)/'V33'!E62,"")</f>
        <v>0.44180382373506383</v>
      </c>
      <c r="F63" s="8">
        <f>IFERROR((F62-'V33'!F62)/'V33'!F62,"")</f>
        <v>0.44180382373506372</v>
      </c>
      <c r="G63" s="8">
        <f>IFERROR((G62-'V33'!G62)/'V33'!G62,"")</f>
        <v>0.56691628505112024</v>
      </c>
    </row>
    <row r="64" spans="1:11">
      <c r="B64" s="5" t="s">
        <v>23</v>
      </c>
      <c r="E64" s="18">
        <f>(E62 / AVERAGE('V25'!E62,'V26'!E62,'V27'!E62,'V28'!E62,'V29'!E62,'V30'!E62,'V31'!E62,'V32'!E62,'V33'!E62)) * 100</f>
        <v>147.1491828577403</v>
      </c>
      <c r="F64" s="18">
        <f>(F62 / AVERAGE('V25'!F62,'V26'!F62,'V27'!F62,'V28'!F62,'V29'!F62,'V30'!F62,'V31'!F62,'V32'!F62,'V33'!F62)) * 100</f>
        <v>147.15734229744555</v>
      </c>
      <c r="G64" s="18">
        <f>(G62 / AVERAGE('V25'!G62,'V26'!G62,'V27'!G62,'V28'!G62,'V29'!G62,'V30'!G62,'V31'!G62,'V32'!G62,'V33'!G62)) * 100</f>
        <v>148.53238809866113</v>
      </c>
      <c r="H64" s="14">
        <f>IFERROR((G64*0.6)+(F64*0.4),"")</f>
        <v>147.9823697781749</v>
      </c>
    </row>
    <row r="65" spans="1:11">
      <c r="A65" s="1">
        <v>7</v>
      </c>
      <c r="C65" s="2" t="s">
        <v>59</v>
      </c>
      <c r="D65" s="2" t="s">
        <v>5</v>
      </c>
      <c r="E65" s="2" t="s">
        <v>6</v>
      </c>
      <c r="F65" s="2" t="s">
        <v>7</v>
      </c>
      <c r="G65" s="2" t="s">
        <v>8</v>
      </c>
      <c r="H65" s="2" t="s">
        <v>9</v>
      </c>
      <c r="I65" s="2" t="s">
        <v>10</v>
      </c>
      <c r="J65" s="2" t="s">
        <v>11</v>
      </c>
      <c r="K65" s="2" t="s">
        <v>12</v>
      </c>
    </row>
    <row r="66" spans="1:11">
      <c r="B66" s="6" t="s">
        <v>60</v>
      </c>
      <c r="C66" s="2" t="s">
        <v>61</v>
      </c>
      <c r="D66" s="5" t="s">
        <v>62</v>
      </c>
      <c r="E66" s="7">
        <v>141</v>
      </c>
      <c r="F66" s="7">
        <v>2927.16</v>
      </c>
      <c r="G66" s="7">
        <v>678.21</v>
      </c>
      <c r="H66" s="8">
        <f>IFERROR(G66/F66,"")</f>
        <v>0.23169556840077074</v>
      </c>
      <c r="I66" s="18">
        <f>IFERROR(((E66/$B$112) / AVERAGE('V25'!E66/'V25'!$B$112, 'V26'!E66/'V26'!$B$112, 'V27'!E66/'V27'!$B$112, 'V28'!E66/'V28'!$B$112, 'V29'!E66/'V29'!$B$112, 'V30'!E66/'V30'!$B$112, 'V31'!E66/'V31'!$B$112, 'V32'!E66/'V32'!$B$112, 'V33'!E66/'V33'!$B$112)) * 100,"")</f>
        <v>121.84735193742904</v>
      </c>
      <c r="J66" s="18">
        <f>IFERROR(((F66/$B$112) / AVERAGE('V25'!F66/'V25'!$B$112, 'V26'!F66/'V26'!$B$112, 'V27'!F66/'V27'!$B$112, 'V28'!F66/'V28'!$B$112, 'V29'!F66/'V29'!$B$112, 'V30'!F66/'V30'!$B$112, 'V31'!F66/'V31'!$B$112, 'V32'!F66/'V32'!$B$112, 'V33'!F66/'V33'!$B$112)) * 100,"")</f>
        <v>121.90001057911356</v>
      </c>
      <c r="K66" s="18">
        <f>IFERROR(((G66/$B$112) / AVERAGE('V25'!G66/'V25'!$B$112, 'V26'!G66/'V26'!$B$112, 'V27'!G66/'V27'!$B$112, 'V28'!G66/'V28'!$B$112, 'V29'!G66/'V29'!$B$112, 'V30'!G66/'V30'!$B$112, 'V31'!G66/'V31'!$B$112, 'V32'!G66/'V32'!$B$112, 'V33'!G66/'V33'!$B$112)) * 100,"")</f>
        <v>122.07495324277622</v>
      </c>
    </row>
    <row r="67" spans="1:11">
      <c r="C67" s="2" t="s">
        <v>63</v>
      </c>
    </row>
    <row r="68" spans="1:11">
      <c r="C68" s="2" t="s">
        <v>64</v>
      </c>
    </row>
    <row r="69" spans="1:11">
      <c r="C69" s="2" t="s">
        <v>65</v>
      </c>
    </row>
    <row r="70" spans="1:11">
      <c r="C70" s="9" t="s">
        <v>19</v>
      </c>
      <c r="D70" s="10"/>
      <c r="E70" s="11">
        <f>SUM(E66:E69)</f>
        <v>141</v>
      </c>
      <c r="F70" s="11">
        <f>SUM(F66:F69)</f>
        <v>2927.16</v>
      </c>
      <c r="G70" s="11">
        <f>SUM(G66:G69)</f>
        <v>678.21</v>
      </c>
      <c r="H70" s="12">
        <f>IFERROR(G70/F70,"")</f>
        <v>0.23169556840077074</v>
      </c>
    </row>
    <row r="71" spans="1:11">
      <c r="B71" s="5" t="s">
        <v>20</v>
      </c>
      <c r="E71" s="16">
        <f>IFERROR((E70-('V33'!E70))/('V33'!E70),"")</f>
        <v>-4.72972972972973E-2</v>
      </c>
      <c r="F71" s="16">
        <f>IFERROR((F70-('V33'!F70))/('V33'!F70),"")</f>
        <v>-4.7297297297297348E-2</v>
      </c>
      <c r="G71" s="16">
        <f>IFERROR((G70-('V33'!G70))/('V33'!G70),"")</f>
        <v>-4.7297297297297237E-2</v>
      </c>
      <c r="H71" s="16">
        <f>IFERROR(H70-('V33'!H70),"")</f>
        <v>2.7755575615628914E-17</v>
      </c>
    </row>
    <row r="72" spans="1:11">
      <c r="B72" s="5" t="s">
        <v>21</v>
      </c>
      <c r="E72" s="13">
        <f>E70/$B$112</f>
        <v>8.0364776289541182E-3</v>
      </c>
      <c r="F72" s="13">
        <f>F70/$B$112</f>
        <v>0.16683727557708747</v>
      </c>
      <c r="G72" s="13">
        <f>G70/$B$112</f>
        <v>3.8655457395269308E-2</v>
      </c>
    </row>
    <row r="73" spans="1:11">
      <c r="B73" s="5" t="s">
        <v>22</v>
      </c>
      <c r="E73" s="8">
        <f>IFERROR((E72-'V33'!E72)/'V33'!E72,"")</f>
        <v>5.4828125361041516E-3</v>
      </c>
      <c r="F73" s="8">
        <f>IFERROR((F72-'V33'!F72)/'V33'!F72,"")</f>
        <v>5.4828125361039998E-3</v>
      </c>
      <c r="G73" s="8">
        <f>IFERROR((G72-'V33'!G72)/'V33'!G72,"")</f>
        <v>5.4828125361041343E-3</v>
      </c>
    </row>
    <row r="74" spans="1:11">
      <c r="B74" s="5" t="s">
        <v>23</v>
      </c>
      <c r="E74" s="18">
        <f>(E72 / AVERAGE('V25'!E72,'V26'!E72,'V27'!E72,'V28'!E72,'V29'!E72,'V30'!E72,'V31'!E72,'V32'!E72,'V33'!E72)) * 100</f>
        <v>121.84735193742904</v>
      </c>
      <c r="F74" s="18">
        <f>(F72 / AVERAGE('V25'!F72,'V26'!F72,'V27'!F72,'V28'!F72,'V29'!F72,'V30'!F72,'V31'!F72,'V32'!F72,'V33'!F72)) * 100</f>
        <v>121.90001057911356</v>
      </c>
      <c r="G74" s="18">
        <f>(G72 / AVERAGE('V25'!G72,'V26'!G72,'V27'!G72,'V28'!G72,'V29'!G72,'V30'!G72,'V31'!G72,'V32'!G72,'V33'!G72)) * 100</f>
        <v>122.07495324277622</v>
      </c>
      <c r="H74" s="14">
        <f>IFERROR((G74*0.6)+(F74*0.4),"")</f>
        <v>122.00497617731115</v>
      </c>
    </row>
    <row r="75" spans="1:11">
      <c r="A75" s="1">
        <v>8</v>
      </c>
      <c r="C75" s="2" t="s">
        <v>66</v>
      </c>
      <c r="D75" s="2" t="s">
        <v>5</v>
      </c>
      <c r="E75" s="2" t="s">
        <v>6</v>
      </c>
      <c r="F75" s="2" t="s">
        <v>7</v>
      </c>
      <c r="G75" s="2" t="s">
        <v>8</v>
      </c>
      <c r="H75" s="2" t="s">
        <v>9</v>
      </c>
      <c r="I75" s="2" t="s">
        <v>10</v>
      </c>
      <c r="J75" s="2" t="s">
        <v>11</v>
      </c>
      <c r="K75" s="2" t="s">
        <v>12</v>
      </c>
    </row>
    <row r="76" spans="1:11">
      <c r="B76" s="6" t="s">
        <v>114</v>
      </c>
      <c r="C76" s="2" t="s">
        <v>68</v>
      </c>
      <c r="D76" s="5" t="s">
        <v>115</v>
      </c>
      <c r="E76" s="7">
        <v>181</v>
      </c>
      <c r="F76" s="7">
        <v>3620</v>
      </c>
      <c r="G76" s="7">
        <v>832.6</v>
      </c>
      <c r="H76" s="8">
        <f>IFERROR(G76/F76,"")</f>
        <v>0.23</v>
      </c>
      <c r="I76" s="18">
        <f>IFERROR(((E76/$B$112) / AVERAGE('V25'!E76/'V25'!$B$112, 'V26'!E76/'V26'!$B$112, 'V27'!E76/'V27'!$B$112, 'V28'!E76/'V28'!$B$112, 'V29'!E76/'V29'!$B$112, 'V30'!E76/'V30'!$B$112, 'V31'!E76/'V31'!$B$112, 'V32'!E76/'V32'!$B$112, 'V33'!E76/'V33'!$B$112)) * 100,"")</f>
        <v>320.94259793106272</v>
      </c>
      <c r="J76" s="18">
        <f>IFERROR(((F76/$B$112) / AVERAGE('V25'!F76/'V25'!$B$112, 'V26'!F76/'V26'!$B$112, 'V27'!F76/'V27'!$B$112, 'V28'!F76/'V28'!$B$112, 'V29'!F76/'V29'!$B$112, 'V30'!F76/'V30'!$B$112, 'V31'!F76/'V31'!$B$112, 'V32'!F76/'V32'!$B$112, 'V33'!F76/'V33'!$B$112)) * 100,"")</f>
        <v>228.32147468462409</v>
      </c>
      <c r="K76" s="18">
        <f>IFERROR(((G76/$B$112) / AVERAGE('V25'!G76/'V25'!$B$112, 'V26'!G76/'V26'!$B$112, 'V27'!G76/'V27'!$B$112, 'V28'!G76/'V28'!$B$112, 'V29'!G76/'V29'!$B$112, 'V30'!G76/'V30'!$B$112, 'V31'!G76/'V31'!$B$112, 'V32'!G76/'V32'!$B$112, 'V33'!G76/'V33'!$B$112)) * 100,"")</f>
        <v>238.97834916168995</v>
      </c>
    </row>
    <row r="77" spans="1:11">
      <c r="C77" s="2" t="s">
        <v>70</v>
      </c>
    </row>
    <row r="78" spans="1:11">
      <c r="C78" s="2" t="s">
        <v>71</v>
      </c>
    </row>
    <row r="79" spans="1:11">
      <c r="C79" s="2" t="s">
        <v>72</v>
      </c>
    </row>
    <row r="80" spans="1:11">
      <c r="C80" s="9" t="s">
        <v>19</v>
      </c>
      <c r="D80" s="10"/>
      <c r="E80" s="11">
        <f>SUM(E76:E79)</f>
        <v>181</v>
      </c>
      <c r="F80" s="11">
        <f>SUM(F76:F79)</f>
        <v>3620</v>
      </c>
      <c r="G80" s="11">
        <f>SUM(G76:G79)</f>
        <v>832.6</v>
      </c>
      <c r="H80" s="12">
        <f>IFERROR(G80/F80,"")</f>
        <v>0.23</v>
      </c>
    </row>
    <row r="81" spans="1:11">
      <c r="B81" s="5" t="s">
        <v>20</v>
      </c>
      <c r="E81" s="16">
        <f>IFERROR((E80-('V33'!E80))/('V33'!E80),"")</f>
        <v>5.8479532163742687E-2</v>
      </c>
      <c r="F81" s="16">
        <f>IFERROR((F80-('V33'!F80))/('V33'!F80),"")</f>
        <v>5.8479532163742687E-2</v>
      </c>
      <c r="G81" s="16">
        <f>IFERROR((G80-('V33'!G80))/('V33'!G80),"")</f>
        <v>5.8479532163742687E-2</v>
      </c>
      <c r="H81" s="16">
        <f>IFERROR(H80-('V33'!H80),"")</f>
        <v>0</v>
      </c>
    </row>
    <row r="82" spans="1:11">
      <c r="B82" s="5" t="s">
        <v>21</v>
      </c>
      <c r="E82" s="13">
        <f>E80/$B$112</f>
        <v>1.0316329438586493E-2</v>
      </c>
      <c r="F82" s="13">
        <f>F80/$B$112</f>
        <v>0.20632658877172982</v>
      </c>
      <c r="G82" s="13">
        <f>G80/$B$112</f>
        <v>4.7455115417497862E-2</v>
      </c>
    </row>
    <row r="83" spans="1:11">
      <c r="B83" s="5" t="s">
        <v>22</v>
      </c>
      <c r="E83" s="8">
        <f>IFERROR((E82-'V33'!E82)/'V33'!E82,"")</f>
        <v>0.11711972055149762</v>
      </c>
      <c r="F83" s="8">
        <f>IFERROR((F82-'V33'!F82)/'V33'!F82,"")</f>
        <v>0.11711972055149739</v>
      </c>
      <c r="G83" s="8">
        <f>IFERROR((G82-'V33'!G82)/'V33'!G82,"")</f>
        <v>0.11711972055149736</v>
      </c>
    </row>
    <row r="84" spans="1:11">
      <c r="B84" s="5" t="s">
        <v>23</v>
      </c>
      <c r="E84" s="18">
        <f>(E82 / AVERAGE('V25'!E82,'V26'!E82,'V27'!E82,'V28'!E82,'V29'!E82,'V30'!E82,'V31'!E82,'V32'!E82,'V33'!E82)) * 100</f>
        <v>320.94259793106272</v>
      </c>
      <c r="F84" s="18">
        <f>(F82 / AVERAGE('V25'!F82,'V26'!F82,'V27'!F82,'V28'!F82,'V29'!F82,'V30'!F82,'V31'!F82,'V32'!F82,'V33'!F82)) * 100</f>
        <v>228.32147468462409</v>
      </c>
      <c r="G84" s="18">
        <f>(G82 / AVERAGE('V25'!G82,'V26'!G82,'V27'!G82,'V28'!G82,'V29'!G82,'V30'!G82,'V31'!G82,'V32'!G82,'V33'!G82)) * 100</f>
        <v>238.97834916168995</v>
      </c>
      <c r="H84" s="14">
        <f>IFERROR((G84*0.6)+(F84*0.4),"")</f>
        <v>234.7155993708636</v>
      </c>
    </row>
    <row r="85" spans="1:11">
      <c r="A85" s="1">
        <v>9</v>
      </c>
      <c r="C85" s="2" t="s">
        <v>73</v>
      </c>
      <c r="D85" s="2" t="s">
        <v>5</v>
      </c>
      <c r="E85" s="2" t="s">
        <v>6</v>
      </c>
      <c r="F85" s="2" t="s">
        <v>7</v>
      </c>
      <c r="G85" s="2" t="s">
        <v>8</v>
      </c>
      <c r="H85" s="2" t="s">
        <v>9</v>
      </c>
      <c r="I85" s="2" t="s">
        <v>10</v>
      </c>
      <c r="J85" s="2" t="s">
        <v>11</v>
      </c>
      <c r="K85" s="2" t="s">
        <v>12</v>
      </c>
    </row>
    <row r="86" spans="1:11">
      <c r="B86" s="6" t="s">
        <v>74</v>
      </c>
      <c r="C86" s="2" t="s">
        <v>75</v>
      </c>
      <c r="D86" s="5" t="s">
        <v>76</v>
      </c>
      <c r="E86" s="7">
        <v>283</v>
      </c>
      <c r="F86" s="7">
        <v>10186.200000000001</v>
      </c>
      <c r="G86" s="7">
        <v>1701.86</v>
      </c>
      <c r="H86" s="8">
        <f>IFERROR(G86/F86,"")</f>
        <v>0.16707506233924327</v>
      </c>
      <c r="I86" s="18">
        <f>IFERROR(((E86/$B$112) / AVERAGE('V25'!E86/'V25'!$B$112, 'V26'!E86/'V26'!$B$112, 'V27'!E86/'V27'!$B$112, 'V28'!E86/'V28'!$B$112, 'V29'!E86/'V29'!$B$112, 'V30'!E86/'V30'!$B$112, 'V31'!E86/'V31'!$B$112, 'V32'!E86/'V32'!$B$112, 'V33'!E86/'V33'!$B$112)) * 100,"")</f>
        <v>145.07797181521812</v>
      </c>
      <c r="J86" s="18">
        <f>IFERROR(((F86/$B$112) / AVERAGE('V25'!F86/'V25'!$B$112, 'V26'!F86/'V26'!$B$112, 'V27'!F86/'V27'!$B$112, 'V28'!F86/'V28'!$B$112, 'V29'!F86/'V29'!$B$112, 'V30'!F86/'V30'!$B$112, 'V31'!F86/'V31'!$B$112, 'V32'!F86/'V32'!$B$112, 'V33'!F86/'V33'!$B$112)) * 100,"")</f>
        <v>145.06269571071982</v>
      </c>
      <c r="K86" s="18">
        <f>IFERROR(((G86/$B$112) / AVERAGE('V25'!G86/'V25'!$B$112, 'V26'!G86/'V26'!$B$112, 'V27'!G86/'V27'!$B$112, 'V28'!G86/'V28'!$B$112, 'V29'!G86/'V29'!$B$112, 'V30'!G86/'V30'!$B$112, 'V31'!G86/'V31'!$B$112, 'V32'!G86/'V32'!$B$112, 'V33'!G86/'V33'!$B$112)) * 100,"")</f>
        <v>143.6469745805978</v>
      </c>
    </row>
    <row r="87" spans="1:11">
      <c r="C87" s="2" t="s">
        <v>77</v>
      </c>
    </row>
    <row r="88" spans="1:11">
      <c r="C88" s="2" t="s">
        <v>78</v>
      </c>
    </row>
    <row r="89" spans="1:11">
      <c r="C89" s="2" t="s">
        <v>79</v>
      </c>
    </row>
    <row r="90" spans="1:11">
      <c r="C90" s="9" t="s">
        <v>19</v>
      </c>
      <c r="D90" s="10"/>
      <c r="E90" s="11">
        <f>SUM(E86:E89)</f>
        <v>283</v>
      </c>
      <c r="F90" s="11">
        <f>SUM(F86:F89)</f>
        <v>10186.200000000001</v>
      </c>
      <c r="G90" s="11">
        <f>SUM(G86:G89)</f>
        <v>1701.86</v>
      </c>
      <c r="H90" s="12">
        <f>IFERROR(G90/F90,"")</f>
        <v>0.16707506233924327</v>
      </c>
    </row>
    <row r="91" spans="1:11">
      <c r="B91" s="5" t="s">
        <v>20</v>
      </c>
      <c r="E91" s="16">
        <f>IFERROR((E90-('V33'!E90))/('V33'!E90),"")</f>
        <v>0.32863849765258218</v>
      </c>
      <c r="F91" s="16">
        <f>IFERROR((F90-('V33'!F90))/('V33'!F90),"")</f>
        <v>0.3284037558685447</v>
      </c>
      <c r="G91" s="16">
        <f>IFERROR((G90-('V33'!G90))/('V33'!G90),"")</f>
        <v>0.32723472618657673</v>
      </c>
      <c r="H91" s="16">
        <f>IFERROR(H90-('V33'!H90),"")</f>
        <v>-1.4715988297894778E-4</v>
      </c>
    </row>
    <row r="92" spans="1:11">
      <c r="B92" s="5" t="s">
        <v>21</v>
      </c>
      <c r="E92" s="13">
        <f>E90/$B$112</f>
        <v>1.6129951553149044E-2</v>
      </c>
      <c r="F92" s="13">
        <f>F90/$B$112</f>
        <v>0.58057566258193216</v>
      </c>
      <c r="G92" s="13">
        <f>G90/$B$112</f>
        <v>9.6999715018523794E-2</v>
      </c>
    </row>
    <row r="93" spans="1:11">
      <c r="B93" s="5" t="s">
        <v>22</v>
      </c>
      <c r="E93" s="8">
        <f>IFERROR((E92-'V33'!E92)/'V33'!E92,"")</f>
        <v>0.40224560051483965</v>
      </c>
      <c r="F93" s="8">
        <f>IFERROR((F92-'V33'!F92)/'V33'!F92,"")</f>
        <v>0.40199785394231058</v>
      </c>
      <c r="G93" s="8">
        <f>IFERROR((G92-'V33'!G92)/'V33'!G92,"")</f>
        <v>0.40076405954954919</v>
      </c>
    </row>
    <row r="94" spans="1:11">
      <c r="B94" s="5" t="s">
        <v>23</v>
      </c>
      <c r="E94" s="18">
        <f>(E92 / AVERAGE('V25'!E92,'V26'!E92,'V27'!E92,'V28'!E92,'V29'!E92,'V30'!E92,'V31'!E92,'V32'!E92,'V33'!E92)) * 100</f>
        <v>145.07797181521812</v>
      </c>
      <c r="F94" s="18">
        <f>(F92 / AVERAGE('V25'!F92,'V26'!F92,'V27'!F92,'V28'!F92,'V29'!F92,'V30'!F92,'V31'!F92,'V32'!F92,'V33'!F92)) * 100</f>
        <v>145.06269571071982</v>
      </c>
      <c r="G94" s="18">
        <f>(G92 / AVERAGE('V25'!G92,'V26'!G92,'V27'!G92,'V28'!G92,'V29'!G92,'V30'!G92,'V31'!G92,'V32'!G92,'V33'!G92)) * 100</f>
        <v>143.6469745805978</v>
      </c>
      <c r="H94" s="14">
        <f>IFERROR((G94*0.6)+(F94*0.4),"")</f>
        <v>144.21326303264661</v>
      </c>
    </row>
    <row r="95" spans="1:11">
      <c r="A95" s="1">
        <v>10</v>
      </c>
      <c r="C95" s="2" t="s">
        <v>80</v>
      </c>
      <c r="D95" s="2" t="s">
        <v>5</v>
      </c>
      <c r="E95" s="2" t="s">
        <v>6</v>
      </c>
      <c r="F95" s="2" t="s">
        <v>7</v>
      </c>
      <c r="G95" s="2" t="s">
        <v>8</v>
      </c>
      <c r="H95" s="2" t="s">
        <v>9</v>
      </c>
      <c r="I95" s="2" t="s">
        <v>10</v>
      </c>
      <c r="J95" s="2" t="s">
        <v>11</v>
      </c>
      <c r="K95" s="2" t="s">
        <v>12</v>
      </c>
    </row>
    <row r="96" spans="1:11">
      <c r="B96" s="6" t="s">
        <v>81</v>
      </c>
      <c r="C96" s="2" t="s">
        <v>82</v>
      </c>
      <c r="D96" s="5" t="s">
        <v>83</v>
      </c>
      <c r="E96" s="7">
        <v>246</v>
      </c>
      <c r="F96" s="7">
        <v>8854.2000000000007</v>
      </c>
      <c r="G96" s="7">
        <v>1479.12</v>
      </c>
      <c r="H96" s="8">
        <f>IFERROR(G96/F96,"")</f>
        <v>0.16705292403605065</v>
      </c>
      <c r="I96" s="18">
        <f>IFERROR(((E96/$B$112) / AVERAGE('V25'!E96/'V25'!$B$112, 'V26'!E96/'V26'!$B$112, 'V27'!E96/'V27'!$B$112, 'V28'!E96/'V28'!$B$112, 'V29'!E96/'V29'!$B$112, 'V30'!E96/'V30'!$B$112, 'V31'!E96/'V31'!$B$112, 'V32'!E96/'V32'!$B$112, 'V33'!E96/'V33'!$B$112)) * 100,"")</f>
        <v>100.53690903166334</v>
      </c>
      <c r="J96" s="18">
        <f>IFERROR(((F96/$B$112) / AVERAGE('V25'!F96/'V25'!$B$112, 'V26'!F96/'V26'!$B$112, 'V27'!F96/'V27'!$B$112, 'V28'!F96/'V28'!$B$112, 'V29'!F96/'V29'!$B$112, 'V30'!F96/'V30'!$B$112, 'V31'!F96/'V31'!$B$112, 'V32'!F96/'V32'!$B$112, 'V33'!F96/'V33'!$B$112)) * 100,"")</f>
        <v>100.52660176352421</v>
      </c>
      <c r="K96" s="18">
        <f>IFERROR(((G96/$B$112) / AVERAGE('V25'!G96/'V25'!$B$112, 'V26'!G96/'V26'!$B$112, 'V27'!G96/'V27'!$B$112, 'V28'!G96/'V28'!$B$112, 'V29'!G96/'V29'!$B$112, 'V30'!G96/'V30'!$B$112, 'V31'!G96/'V31'!$B$112, 'V32'!G96/'V32'!$B$112, 'V33'!G96/'V33'!$B$112)) * 100,"")</f>
        <v>99.594333704694577</v>
      </c>
    </row>
    <row r="97" spans="2:8">
      <c r="C97" s="2" t="s">
        <v>84</v>
      </c>
    </row>
    <row r="98" spans="2:8">
      <c r="C98" s="2" t="s">
        <v>85</v>
      </c>
    </row>
    <row r="99" spans="2:8">
      <c r="C99" s="2" t="s">
        <v>86</v>
      </c>
    </row>
    <row r="100" spans="2:8">
      <c r="C100" s="9" t="s">
        <v>19</v>
      </c>
      <c r="D100" s="10"/>
      <c r="E100" s="11">
        <f>SUM(E96:E99)</f>
        <v>246</v>
      </c>
      <c r="F100" s="11">
        <f>SUM(F96:F99)</f>
        <v>8854.2000000000007</v>
      </c>
      <c r="G100" s="11">
        <f>SUM(G96:G99)</f>
        <v>1479.12</v>
      </c>
      <c r="H100" s="12">
        <f>IFERROR(G100/F100,"")</f>
        <v>0.16705292403605065</v>
      </c>
    </row>
    <row r="101" spans="2:8">
      <c r="B101" s="5" t="s">
        <v>20</v>
      </c>
      <c r="E101" s="16">
        <f>IFERROR((E100-('V33'!E100))/('V33'!E100),"")</f>
        <v>-0.1276595744680851</v>
      </c>
      <c r="F101" s="16">
        <f>IFERROR((F100-('V33'!F100))/('V33'!F100),"")</f>
        <v>-0.12783687943262403</v>
      </c>
      <c r="G101" s="16">
        <f>IFERROR((G100-('V33'!G100))/('V33'!G100),"")</f>
        <v>-0.12871986993708925</v>
      </c>
      <c r="H101" s="16">
        <f>IFERROR(H100-('V33'!H100),"")</f>
        <v>-1.6929818617159031E-4</v>
      </c>
    </row>
    <row r="102" spans="2:8">
      <c r="B102" s="5" t="s">
        <v>21</v>
      </c>
      <c r="E102" s="13">
        <f>E100/$B$112</f>
        <v>1.4021088629239099E-2</v>
      </c>
      <c r="F102" s="13">
        <f>F100/$B$112</f>
        <v>0.50465659732117418</v>
      </c>
      <c r="G102" s="13">
        <f>G100/$B$112</f>
        <v>8.4304360216585911E-2</v>
      </c>
    </row>
    <row r="103" spans="2:8">
      <c r="B103" s="5" t="s">
        <v>22</v>
      </c>
      <c r="E103" s="8">
        <f>IFERROR((E102-'V33'!E102)/'V33'!E102,"")</f>
        <v>-7.9331566852409927E-2</v>
      </c>
      <c r="F103" s="8">
        <f>IFERROR((F102-'V33'!F102)/'V33'!F102,"")</f>
        <v>-7.951869458272437E-2</v>
      </c>
      <c r="G103" s="8">
        <f>IFERROR((G102-'V33'!G102)/'V33'!G102,"")</f>
        <v>-8.0450603113427346E-2</v>
      </c>
    </row>
    <row r="104" spans="2:8">
      <c r="B104" s="5" t="s">
        <v>23</v>
      </c>
      <c r="E104" s="18">
        <f>(E102 / AVERAGE('V25'!E102,'V26'!E102,'V27'!E102,'V28'!E102,'V29'!E102,'V30'!E102,'V31'!E102,'V32'!E102,'V33'!E102)) * 100</f>
        <v>100.53690903166334</v>
      </c>
      <c r="F104" s="18">
        <f>(F102 / AVERAGE('V25'!F102,'V26'!F102,'V27'!F102,'V28'!F102,'V29'!F102,'V30'!F102,'V31'!F102,'V32'!F102,'V33'!F102)) * 100</f>
        <v>100.52660176352421</v>
      </c>
      <c r="G104" s="18">
        <f>(G102 / AVERAGE('V25'!G102,'V26'!G102,'V27'!G102,'V28'!G102,'V29'!G102,'V30'!G102,'V31'!G102,'V32'!G102,'V33'!G102)) * 100</f>
        <v>99.594333704694577</v>
      </c>
      <c r="H104" s="14">
        <f>IFERROR((G104*0.6)+(F104*0.4),"")</f>
        <v>99.967240928226431</v>
      </c>
    </row>
    <row r="106" spans="2:8">
      <c r="B106" s="2" t="s">
        <v>87</v>
      </c>
      <c r="E106" s="15">
        <f>E10+E20+E30+E40+E50+E60+E70+E80+E90+E100</f>
        <v>2880</v>
      </c>
      <c r="F106" s="15">
        <f>F10+F20+F30+F40+F50+F60+F70+F80+F90+F100</f>
        <v>92942.84</v>
      </c>
      <c r="G106" s="15">
        <f>G10+G20+G30+G40+G50+G60+G70+G80+G90+G100</f>
        <v>17307.210000000003</v>
      </c>
      <c r="H106" s="16">
        <f>IFERROR(G106/F106,"")</f>
        <v>0.1862134834700554</v>
      </c>
    </row>
    <row r="107" spans="2:8">
      <c r="B107" s="5" t="s">
        <v>88</v>
      </c>
      <c r="E107" s="16">
        <f>IFERROR((E106-'V33'!E106)/'V33'!E106,"")</f>
        <v>2.5275898896404414E-2</v>
      </c>
      <c r="F107" s="16">
        <f>IFERROR((F106-'V33'!F106)/'V33'!F106,"")</f>
        <v>7.4030043841394047E-3</v>
      </c>
      <c r="G107" s="16">
        <f>IFERROR((G106-'V33'!G106)/'V33'!G106,"")</f>
        <v>0.10537499393255059</v>
      </c>
      <c r="H107" s="16">
        <f>IFERROR(H106-'V33'!H106,"")</f>
        <v>1.6504539686931552E-2</v>
      </c>
    </row>
    <row r="108" spans="2:8">
      <c r="B108" s="5" t="s">
        <v>21</v>
      </c>
      <c r="E108" s="13">
        <f>E106/$B$112</f>
        <v>0.16414933029353093</v>
      </c>
      <c r="F108" s="13">
        <f>F106/$B$112</f>
        <v>5.2973975491593048</v>
      </c>
      <c r="G108" s="13">
        <f>G106/$B$112</f>
        <v>0.98644685095468809</v>
      </c>
    </row>
    <row r="109" spans="2:8">
      <c r="B109" s="5" t="s">
        <v>22</v>
      </c>
      <c r="E109" s="8">
        <f>IFERROR((E108-'V33'!E108)/'V33'!E108,"")</f>
        <v>8.20765927537601E-2</v>
      </c>
      <c r="F109" s="8">
        <f>IFERROR((F108-'V33'!F108)/'V33'!F108,"")</f>
        <v>6.3213532754694185E-2</v>
      </c>
      <c r="G109" s="8">
        <f>IFERROR((G108-'V33'!G108)/'V33'!G108,"")</f>
        <v>0.1666132096123705</v>
      </c>
    </row>
    <row r="110" spans="2:8">
      <c r="B110" s="5" t="s">
        <v>23</v>
      </c>
      <c r="E110" s="18">
        <f>IFERROR((E108 / AVERAGE('V25'!E108,'V26'!E108,'V27'!E108,'V28'!E108,'V29'!E108,'V30'!E108,'V31'!E108,'V32'!E108,'V33'!E108)) * 100,"")</f>
        <v>126.49009673480178</v>
      </c>
      <c r="F110" s="18">
        <f>IFERROR((F108 / AVERAGE('V25'!F108,'V26'!F108,'V27'!F108,'V28'!F108,'V29'!F108,'V30'!F108,'V31'!F108,'V32'!F108,'V33'!F108)) * 100,"")</f>
        <v>119.21065338716768</v>
      </c>
      <c r="G110" s="18">
        <f>IFERROR((G108 / AVERAGE('V25'!G108,'V26'!G108,'V27'!G108,'V28'!G108,'V29'!G108,'V30'!G108,'V31'!G108,'V32'!G108,'V33'!G108)) * 100,"")</f>
        <v>123.20865769374242</v>
      </c>
      <c r="H110" s="14">
        <f>IFERROR((G110*0.6)+(F110*0.4),"")</f>
        <v>121.60945597111252</v>
      </c>
    </row>
    <row r="111" spans="2:8">
      <c r="B111" s="5" t="s">
        <v>89</v>
      </c>
      <c r="C111" s="5" t="s">
        <v>90</v>
      </c>
      <c r="D111" s="5" t="s">
        <v>91</v>
      </c>
    </row>
    <row r="112" spans="2:8">
      <c r="B112" s="17">
        <v>17545</v>
      </c>
      <c r="C112" s="17">
        <f>B112-'V33'!$B$112</f>
        <v>-972</v>
      </c>
      <c r="D112" s="19">
        <f>C112/'V33'!$B$112</f>
        <v>-5.2492304368958256E-2</v>
      </c>
    </row>
  </sheetData>
  <conditionalFormatting sqref="E11:G11">
    <cfRule type="cellIs" dxfId="197" priority="1" operator="lessThan">
      <formula>0</formula>
    </cfRule>
    <cfRule type="cellIs" dxfId="196" priority="2" operator="greaterThan">
      <formula>0</formula>
    </cfRule>
  </conditionalFormatting>
  <conditionalFormatting sqref="E21:G21">
    <cfRule type="cellIs" dxfId="195" priority="3" operator="lessThan">
      <formula>0</formula>
    </cfRule>
    <cfRule type="cellIs" dxfId="194" priority="4" operator="greaterThan">
      <formula>0</formula>
    </cfRule>
  </conditionalFormatting>
  <conditionalFormatting sqref="E31:G31">
    <cfRule type="cellIs" dxfId="193" priority="5" operator="lessThan">
      <formula>0</formula>
    </cfRule>
    <cfRule type="cellIs" dxfId="192" priority="6" operator="greaterThan">
      <formula>0</formula>
    </cfRule>
  </conditionalFormatting>
  <conditionalFormatting sqref="E41:G41">
    <cfRule type="cellIs" dxfId="191" priority="7" operator="lessThan">
      <formula>0</formula>
    </cfRule>
    <cfRule type="cellIs" dxfId="190" priority="8" operator="greaterThan">
      <formula>0</formula>
    </cfRule>
  </conditionalFormatting>
  <conditionalFormatting sqref="E51:G51">
    <cfRule type="cellIs" dxfId="189" priority="9" operator="lessThan">
      <formula>0</formula>
    </cfRule>
    <cfRule type="cellIs" dxfId="188" priority="10" operator="greaterThan">
      <formula>0</formula>
    </cfRule>
  </conditionalFormatting>
  <conditionalFormatting sqref="E61:G61">
    <cfRule type="cellIs" dxfId="187" priority="11" operator="lessThan">
      <formula>0</formula>
    </cfRule>
    <cfRule type="cellIs" dxfId="186" priority="12" operator="greaterThan">
      <formula>0</formula>
    </cfRule>
  </conditionalFormatting>
  <conditionalFormatting sqref="E71:G71">
    <cfRule type="cellIs" dxfId="185" priority="13" operator="lessThan">
      <formula>0</formula>
    </cfRule>
    <cfRule type="cellIs" dxfId="184" priority="14" operator="greaterThan">
      <formula>0</formula>
    </cfRule>
  </conditionalFormatting>
  <conditionalFormatting sqref="E81:G81">
    <cfRule type="cellIs" dxfId="183" priority="15" operator="lessThan">
      <formula>0</formula>
    </cfRule>
    <cfRule type="cellIs" dxfId="182" priority="16" operator="greaterThan">
      <formula>0</formula>
    </cfRule>
  </conditionalFormatting>
  <conditionalFormatting sqref="E91:G91">
    <cfRule type="cellIs" dxfId="181" priority="17" operator="lessThan">
      <formula>0</formula>
    </cfRule>
    <cfRule type="cellIs" dxfId="180" priority="18" operator="greaterThan">
      <formula>0</formula>
    </cfRule>
  </conditionalFormatting>
  <conditionalFormatting sqref="E101:G101">
    <cfRule type="cellIs" dxfId="179" priority="19" operator="lessThan">
      <formula>0</formula>
    </cfRule>
    <cfRule type="cellIs" dxfId="178" priority="20" operator="greaterThan">
      <formula>0</formula>
    </cfRule>
  </conditionalFormatting>
  <conditionalFormatting sqref="E107:G107">
    <cfRule type="cellIs" dxfId="177" priority="21" operator="lessThan">
      <formula>0</formula>
    </cfRule>
    <cfRule type="cellIs" dxfId="176" priority="22" operator="greaterThan">
      <formula>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12"/>
  <sheetViews>
    <sheetView zoomScaleNormal="100" zoomScaleSheetLayoutView="100" workbookViewId="0"/>
  </sheetViews>
  <sheetFormatPr defaultRowHeight="15"/>
  <cols>
    <col min="2" max="2" width="16" customWidth="1"/>
    <col min="4" max="4" width="26" customWidth="1"/>
    <col min="5" max="5" width="10" customWidth="1"/>
    <col min="6" max="7" width="12" customWidth="1"/>
    <col min="8" max="8" width="10" customWidth="1"/>
    <col min="9" max="11" width="12" customWidth="1"/>
  </cols>
  <sheetData>
    <row r="1" spans="1:11">
      <c r="A1" s="1" t="s">
        <v>0</v>
      </c>
    </row>
    <row r="3" spans="1:11">
      <c r="C3" s="2" t="s">
        <v>118</v>
      </c>
    </row>
    <row r="4" spans="1:11">
      <c r="C4" s="3" t="s">
        <v>119</v>
      </c>
      <c r="I4" s="4">
        <v>35</v>
      </c>
      <c r="J4" s="5" t="s">
        <v>3</v>
      </c>
    </row>
    <row r="5" spans="1:11">
      <c r="A5" s="1">
        <v>1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</row>
    <row r="6" spans="1:11">
      <c r="B6" s="6" t="s">
        <v>104</v>
      </c>
      <c r="C6" s="2" t="s">
        <v>14</v>
      </c>
      <c r="D6" s="5" t="s">
        <v>105</v>
      </c>
      <c r="E6" s="7">
        <v>107</v>
      </c>
      <c r="F6" s="7">
        <v>8474.4</v>
      </c>
      <c r="G6" s="7">
        <v>1867.95</v>
      </c>
      <c r="H6" s="8">
        <f>IFERROR(G6/F6,"")</f>
        <v>0.22042268479184368</v>
      </c>
      <c r="I6" s="18">
        <f>IFERROR(((E6/$B$112) / AVERAGE('V25'!E6/'V25'!$B$112, 'V26'!E6/'V26'!$B$112, 'V27'!E6/'V27'!$B$112, 'V28'!E6/'V28'!$B$112, 'V29'!E6/'V29'!$B$112, 'V30'!E6/'V30'!$B$112, 'V31'!E6/'V31'!$B$112, 'V32'!E6/'V32'!$B$112, 'V33'!E6/'V33'!$B$112, 'V34'!E6/'V34'!$B$112)) * 100,"")</f>
        <v>91.156544242093304</v>
      </c>
      <c r="J6" s="18">
        <f>IFERROR(((F6/$B$112) / AVERAGE('V25'!F6/'V25'!$B$112, 'V26'!F6/'V26'!$B$112, 'V27'!F6/'V27'!$B$112, 'V28'!F6/'V28'!$B$112, 'V29'!F6/'V29'!$B$112, 'V30'!F6/'V30'!$B$112, 'V31'!F6/'V31'!$B$112, 'V32'!F6/'V32'!$B$112, 'V33'!F6/'V33'!$B$112, 'V34'!F6/'V34'!$B$112)) * 100,"")</f>
        <v>99.71885701140836</v>
      </c>
      <c r="K6" s="18">
        <f>IFERROR(((G6/$B$112) / AVERAGE('V25'!G6/'V25'!$B$112, 'V26'!G6/'V26'!$B$112, 'V27'!G6/'V27'!$B$112, 'V28'!G6/'V28'!$B$112, 'V29'!G6/'V29'!$B$112, 'V30'!G6/'V30'!$B$112, 'V31'!G6/'V31'!$B$112, 'V32'!G6/'V32'!$B$112, 'V33'!G6/'V33'!$B$112, 'V34'!G6/'V34'!$B$112)) * 100,"")</f>
        <v>100.32799603327796</v>
      </c>
    </row>
    <row r="7" spans="1:11">
      <c r="C7" s="2" t="s">
        <v>16</v>
      </c>
    </row>
    <row r="8" spans="1:11">
      <c r="C8" s="2" t="s">
        <v>17</v>
      </c>
    </row>
    <row r="9" spans="1:11">
      <c r="C9" s="2" t="s">
        <v>18</v>
      </c>
    </row>
    <row r="10" spans="1:11">
      <c r="C10" s="9" t="s">
        <v>19</v>
      </c>
      <c r="D10" s="10"/>
      <c r="E10" s="11">
        <f>SUM(E6:E9)</f>
        <v>107</v>
      </c>
      <c r="F10" s="11">
        <f>SUM(F6:F9)</f>
        <v>8474.4</v>
      </c>
      <c r="G10" s="11">
        <f>SUM(G6:G9)</f>
        <v>1867.95</v>
      </c>
      <c r="H10" s="12">
        <f>IFERROR(G10/F10,"")</f>
        <v>0.22042268479184368</v>
      </c>
    </row>
    <row r="11" spans="1:11">
      <c r="B11" s="5" t="s">
        <v>20</v>
      </c>
      <c r="E11" s="16">
        <f>IFERROR((E10-('V34'!E10))/('V34'!E10),"")</f>
        <v>-5.3097345132743362E-2</v>
      </c>
      <c r="F11" s="16">
        <f>IFERROR((F10-('V34'!F10))/('V34'!F10),"")</f>
        <v>-4.4642857142857144E-2</v>
      </c>
      <c r="G11" s="16">
        <f>IFERROR((G10-('V34'!G10))/('V34'!G10),"")</f>
        <v>1.5957707180968311E-2</v>
      </c>
      <c r="H11" s="16">
        <f>IFERROR(H10-('V34'!H10),"")</f>
        <v>1.3147928298337191E-2</v>
      </c>
    </row>
    <row r="12" spans="1:11">
      <c r="B12" s="5" t="s">
        <v>21</v>
      </c>
      <c r="E12" s="13">
        <f>E10/$B$112</f>
        <v>6.6862463288133471E-3</v>
      </c>
      <c r="F12" s="13">
        <f>F10/$B$112</f>
        <v>0.52955070924201708</v>
      </c>
      <c r="G12" s="13">
        <f>G10/$B$112</f>
        <v>0.11672498906455039</v>
      </c>
    </row>
    <row r="13" spans="1:11">
      <c r="B13" s="5" t="s">
        <v>22</v>
      </c>
      <c r="E13" s="8">
        <f>IFERROR((E12-'V34'!E12)/'V34'!E12,"")</f>
        <v>3.8143290610886532E-2</v>
      </c>
      <c r="F13" s="8">
        <f>IFERROR((F12-'V34'!F12)/'V34'!F12,"")</f>
        <v>4.7412427134197951E-2</v>
      </c>
      <c r="G13" s="8">
        <f>IFERROR((G12-'V34'!G12)/'V34'!G12,"")</f>
        <v>0.11385227597888442</v>
      </c>
    </row>
    <row r="14" spans="1:11">
      <c r="B14" s="5" t="s">
        <v>23</v>
      </c>
      <c r="E14" s="18">
        <f>(E12 / AVERAGE('V25'!E12,'V26'!E12,'V27'!E12,'V28'!E12,'V29'!E12,'V30'!E12,'V31'!E12,'V32'!E12,'V33'!E12,'V34'!E12)) * 100</f>
        <v>91.156544242093304</v>
      </c>
      <c r="F14" s="18">
        <f>(F12 / AVERAGE('V25'!F12,'V26'!F12,'V27'!F12,'V28'!F12,'V29'!F12,'V30'!F12,'V31'!F12,'V32'!F12,'V33'!F12,'V34'!F12)) * 100</f>
        <v>99.71885701140836</v>
      </c>
      <c r="G14" s="18">
        <f>(G12 / AVERAGE('V25'!G12,'V26'!G12,'V27'!G12,'V28'!G12,'V29'!G12,'V30'!G12,'V31'!G12,'V32'!G12,'V33'!G12,'V34'!G12)) * 100</f>
        <v>100.32799603327796</v>
      </c>
      <c r="H14" s="14">
        <f>IFERROR((G14*0.6)+(F14*0.4),"")</f>
        <v>100.08434042453013</v>
      </c>
    </row>
    <row r="15" spans="1:11">
      <c r="A15" s="1">
        <v>2</v>
      </c>
      <c r="C15" s="2" t="s">
        <v>24</v>
      </c>
      <c r="D15" s="2" t="s">
        <v>5</v>
      </c>
      <c r="E15" s="2" t="s">
        <v>6</v>
      </c>
      <c r="F15" s="2" t="s">
        <v>7</v>
      </c>
      <c r="G15" s="2" t="s">
        <v>8</v>
      </c>
      <c r="H15" s="2" t="s">
        <v>9</v>
      </c>
      <c r="I15" s="2" t="s">
        <v>10</v>
      </c>
      <c r="J15" s="2" t="s">
        <v>11</v>
      </c>
      <c r="K15" s="2" t="s">
        <v>12</v>
      </c>
    </row>
    <row r="16" spans="1:11">
      <c r="B16" s="6" t="s">
        <v>25</v>
      </c>
      <c r="C16" s="2" t="s">
        <v>26</v>
      </c>
      <c r="D16" s="5" t="s">
        <v>27</v>
      </c>
      <c r="E16" s="7">
        <v>252</v>
      </c>
      <c r="F16" s="7">
        <v>4020.32</v>
      </c>
      <c r="G16" s="7">
        <v>504.92</v>
      </c>
      <c r="H16" s="8">
        <f>IFERROR(G16/F16,"")</f>
        <v>0.12559199267719984</v>
      </c>
      <c r="I16" s="18">
        <f>IFERROR(((E16/$B$112) / AVERAGE('V25'!E16/'V25'!$B$112, 'V26'!E16/'V26'!$B$112, 'V27'!E16/'V27'!$B$112, 'V28'!E16/'V28'!$B$112, 'V29'!E16/'V29'!$B$112, 'V30'!E16/'V30'!$B$112, 'V31'!E16/'V31'!$B$112, 'V32'!E16/'V32'!$B$112, 'V33'!E16/'V33'!$B$112, 'V34'!E16/'V34'!$B$112)) * 100,"")</f>
        <v>161.49710898604195</v>
      </c>
      <c r="J16" s="18">
        <f>IFERROR(((F16/$B$112) / AVERAGE('V25'!F16/'V25'!$B$112, 'V26'!F16/'V26'!$B$112, 'V27'!F16/'V27'!$B$112, 'V28'!F16/'V28'!$B$112, 'V29'!F16/'V29'!$B$112, 'V30'!F16/'V30'!$B$112, 'V31'!F16/'V31'!$B$112, 'V32'!F16/'V32'!$B$112, 'V33'!F16/'V33'!$B$112, 'V34'!F16/'V34'!$B$112)) * 100,"")</f>
        <v>135.62145041510396</v>
      </c>
      <c r="K16" s="18">
        <f>IFERROR(((G16/$B$112) / AVERAGE('V25'!G16/'V25'!$B$112, 'V26'!G16/'V26'!$B$112, 'V27'!G16/'V27'!$B$112, 'V28'!G16/'V28'!$B$112, 'V29'!G16/'V29'!$B$112, 'V30'!G16/'V30'!$B$112, 'V31'!G16/'V31'!$B$112, 'V32'!G16/'V32'!$B$112, 'V33'!G16/'V33'!$B$112, 'V34'!G16/'V34'!$B$112)) * 100,"")</f>
        <v>91.568453499019853</v>
      </c>
    </row>
    <row r="17" spans="1:11">
      <c r="C17" s="2" t="s">
        <v>28</v>
      </c>
    </row>
    <row r="18" spans="1:11">
      <c r="C18" s="2" t="s">
        <v>29</v>
      </c>
    </row>
    <row r="19" spans="1:11">
      <c r="C19" s="2" t="s">
        <v>30</v>
      </c>
    </row>
    <row r="20" spans="1:11">
      <c r="C20" s="9" t="s">
        <v>19</v>
      </c>
      <c r="D20" s="10"/>
      <c r="E20" s="11">
        <f>SUM(E16:E19)</f>
        <v>252</v>
      </c>
      <c r="F20" s="11">
        <f>SUM(F16:F19)</f>
        <v>4020.32</v>
      </c>
      <c r="G20" s="11">
        <f>SUM(G16:G19)</f>
        <v>504.92</v>
      </c>
      <c r="H20" s="12">
        <f>IFERROR(G20/F20,"")</f>
        <v>0.12559199267719984</v>
      </c>
    </row>
    <row r="21" spans="1:11">
      <c r="B21" s="5" t="s">
        <v>20</v>
      </c>
      <c r="E21" s="16">
        <f>IFERROR((E20-('V34'!E20))/('V34'!E20),"")</f>
        <v>-6.3197026022304828E-2</v>
      </c>
      <c r="F21" s="16">
        <f>IFERROR((F20-('V34'!F20))/('V34'!F20),"")</f>
        <v>-6.3569704931473583E-2</v>
      </c>
      <c r="G21" s="16">
        <f>IFERROR((G20-('V34'!G20))/('V34'!G20),"")</f>
        <v>-6.6156207808541007E-2</v>
      </c>
      <c r="H21" s="16">
        <f>IFERROR(H20-('V34'!H20),"")</f>
        <v>-3.4785694686031987E-4</v>
      </c>
    </row>
    <row r="22" spans="1:11">
      <c r="B22" s="5" t="s">
        <v>21</v>
      </c>
      <c r="E22" s="13">
        <f>E20/$B$112</f>
        <v>1.5747047428607136E-2</v>
      </c>
      <c r="F22" s="13">
        <f>F20/$B$112</f>
        <v>0.25122289570705492</v>
      </c>
      <c r="G22" s="13">
        <f>G20/$B$112</f>
        <v>3.1551584077985376E-2</v>
      </c>
    </row>
    <row r="23" spans="1:11">
      <c r="B23" s="5" t="s">
        <v>22</v>
      </c>
      <c r="E23" s="8">
        <f>IFERROR((E22-'V34'!E22)/'V34'!E22,"")</f>
        <v>2.7070435445770254E-2</v>
      </c>
      <c r="F23" s="8">
        <f>IFERROR((F22-'V34'!F22)/'V34'!F22,"")</f>
        <v>2.6661846339892204E-2</v>
      </c>
      <c r="G23" s="8">
        <f>IFERROR((G22-'V34'!G22)/'V34'!G22,"")</f>
        <v>2.3826115978200793E-2</v>
      </c>
    </row>
    <row r="24" spans="1:11">
      <c r="B24" s="5" t="s">
        <v>23</v>
      </c>
      <c r="E24" s="18">
        <f>(E22 / AVERAGE('V25'!E22,'V26'!E22,'V27'!E22,'V28'!E22,'V29'!E22,'V30'!E22,'V31'!E22,'V32'!E22,'V33'!E22,'V34'!E22)) * 100</f>
        <v>161.49710898604195</v>
      </c>
      <c r="F24" s="18">
        <f>(F22 / AVERAGE('V25'!F22,'V26'!F22,'V27'!F22,'V28'!F22,'V29'!F22,'V30'!F22,'V31'!F22,'V32'!F22,'V33'!F22,'V34'!F22)) * 100</f>
        <v>135.62145041510396</v>
      </c>
      <c r="G24" s="18">
        <f>(G22 / AVERAGE('V25'!G22,'V26'!G22,'V27'!G22,'V28'!G22,'V29'!G22,'V30'!G22,'V31'!G22,'V32'!G22,'V33'!G22,'V34'!G22)) * 100</f>
        <v>91.568453499019853</v>
      </c>
      <c r="H24" s="14">
        <f>IFERROR((G24*0.6)+(F24*0.4),"")</f>
        <v>109.1896522654535</v>
      </c>
    </row>
    <row r="25" spans="1:11">
      <c r="A25" s="1">
        <v>3</v>
      </c>
      <c r="C25" s="2" t="s">
        <v>31</v>
      </c>
      <c r="D25" s="2" t="s">
        <v>5</v>
      </c>
      <c r="E25" s="2" t="s">
        <v>6</v>
      </c>
      <c r="F25" s="2" t="s">
        <v>7</v>
      </c>
      <c r="G25" s="2" t="s">
        <v>8</v>
      </c>
      <c r="H25" s="2" t="s">
        <v>9</v>
      </c>
      <c r="I25" s="2" t="s">
        <v>10</v>
      </c>
      <c r="J25" s="2" t="s">
        <v>11</v>
      </c>
      <c r="K25" s="2" t="s">
        <v>12</v>
      </c>
    </row>
    <row r="26" spans="1:11">
      <c r="B26" s="6" t="s">
        <v>32</v>
      </c>
      <c r="C26" s="2" t="s">
        <v>33</v>
      </c>
      <c r="D26" s="5" t="s">
        <v>34</v>
      </c>
      <c r="E26" s="7">
        <v>392</v>
      </c>
      <c r="F26" s="7">
        <v>9263.68</v>
      </c>
      <c r="G26" s="7">
        <v>2027.5</v>
      </c>
      <c r="H26" s="8">
        <f>IFERROR(G26/F26,"")</f>
        <v>0.21886550485336281</v>
      </c>
      <c r="I26" s="18">
        <f>IFERROR(((E26/$B$112) / AVERAGE('V25'!E26/'V25'!$B$112, 'V26'!E26/'V26'!$B$112, 'V27'!E26/'V27'!$B$112, 'V28'!E26/'V28'!$B$112, 'V29'!E26/'V29'!$B$112, 'V30'!E26/'V30'!$B$112, 'V31'!E26/'V31'!$B$112, 'V32'!E26/'V32'!$B$112, 'V33'!E26/'V33'!$B$112, 'V34'!E26/'V34'!$B$112)) * 100,"")</f>
        <v>78.314899867897125</v>
      </c>
      <c r="J26" s="18">
        <f>IFERROR(((F26/$B$112) / AVERAGE('V25'!F26/'V25'!$B$112, 'V26'!F26/'V26'!$B$112, 'V27'!F26/'V27'!$B$112, 'V28'!F26/'V28'!$B$112, 'V29'!F26/'V29'!$B$112, 'V30'!F26/'V30'!$B$112, 'V31'!F26/'V31'!$B$112, 'V32'!F26/'V32'!$B$112, 'V33'!F26/'V33'!$B$112, 'V34'!F26/'V34'!$B$112)) * 100,"")</f>
        <v>78.333011072415729</v>
      </c>
      <c r="K26" s="18">
        <f>IFERROR(((G26/$B$112) / AVERAGE('V25'!G26/'V25'!$B$112, 'V26'!G26/'V26'!$B$112, 'V27'!G26/'V27'!$B$112, 'V28'!G26/'V28'!$B$112, 'V29'!G26/'V29'!$B$112, 'V30'!G26/'V30'!$B$112, 'V31'!G26/'V31'!$B$112, 'V32'!G26/'V32'!$B$112, 'V33'!G26/'V33'!$B$112, 'V34'!G26/'V34'!$B$112)) * 100,"")</f>
        <v>77.812363225352456</v>
      </c>
    </row>
    <row r="27" spans="1:11">
      <c r="C27" s="2" t="s">
        <v>35</v>
      </c>
    </row>
    <row r="28" spans="1:11">
      <c r="C28" s="2" t="s">
        <v>36</v>
      </c>
    </row>
    <row r="29" spans="1:11">
      <c r="C29" s="2" t="s">
        <v>37</v>
      </c>
    </row>
    <row r="30" spans="1:11">
      <c r="C30" s="9" t="s">
        <v>19</v>
      </c>
      <c r="D30" s="10"/>
      <c r="E30" s="11">
        <f>SUM(E26:E29)</f>
        <v>392</v>
      </c>
      <c r="F30" s="11">
        <f>SUM(F26:F29)</f>
        <v>9263.68</v>
      </c>
      <c r="G30" s="11">
        <f>SUM(G26:G29)</f>
        <v>2027.5</v>
      </c>
      <c r="H30" s="12">
        <f>IFERROR(G30/F30,"")</f>
        <v>0.21886550485336281</v>
      </c>
    </row>
    <row r="31" spans="1:11">
      <c r="B31" s="5" t="s">
        <v>20</v>
      </c>
      <c r="E31" s="16">
        <f>IFERROR((E30-('V34'!E30))/('V34'!E30),"")</f>
        <v>-0.379746835443038</v>
      </c>
      <c r="F31" s="16">
        <f>IFERROR((F30-('V34'!F30))/('V34'!F30),"")</f>
        <v>-0.37955737015396401</v>
      </c>
      <c r="G31" s="16">
        <f>IFERROR((G30-('V34'!G30))/('V34'!G30),"")</f>
        <v>-0.38486790208856686</v>
      </c>
      <c r="H31" s="16">
        <f>IFERROR(H30-('V34'!H30),"")</f>
        <v>-1.8895002501952141E-3</v>
      </c>
    </row>
    <row r="32" spans="1:11">
      <c r="B32" s="5" t="s">
        <v>21</v>
      </c>
      <c r="E32" s="13">
        <f>E30/$B$112</f>
        <v>2.4495407111166656E-2</v>
      </c>
      <c r="F32" s="13">
        <f>F30/$B$112</f>
        <v>0.57887146160094982</v>
      </c>
      <c r="G32" s="13">
        <f>G30/$B$112</f>
        <v>0.1266949946884959</v>
      </c>
    </row>
    <row r="33" spans="1:11">
      <c r="B33" s="5" t="s">
        <v>22</v>
      </c>
      <c r="E33" s="8">
        <f>IFERROR((E32-'V34'!E32)/'V34'!E32,"")</f>
        <v>-0.31998114277623579</v>
      </c>
      <c r="F33" s="8">
        <f>IFERROR((F32-'V34'!F32)/'V34'!F32,"")</f>
        <v>-0.31977342119298252</v>
      </c>
      <c r="G33" s="8">
        <f>IFERROR((G32-'V34'!G32)/'V34'!G32,"")</f>
        <v>-0.3255956596978008</v>
      </c>
    </row>
    <row r="34" spans="1:11">
      <c r="B34" s="5" t="s">
        <v>23</v>
      </c>
      <c r="E34" s="18">
        <f>(E32 / AVERAGE('V25'!E32,'V26'!E32,'V27'!E32,'V28'!E32,'V29'!E32,'V30'!E32,'V31'!E32,'V32'!E32,'V33'!E32,'V34'!E32)) * 100</f>
        <v>78.314899867897125</v>
      </c>
      <c r="F34" s="18">
        <f>(F32 / AVERAGE('V25'!F32,'V26'!F32,'V27'!F32,'V28'!F32,'V29'!F32,'V30'!F32,'V31'!F32,'V32'!F32,'V33'!F32,'V34'!F32)) * 100</f>
        <v>78.333011072415729</v>
      </c>
      <c r="G34" s="18">
        <f>(G32 / AVERAGE('V25'!G32,'V26'!G32,'V27'!G32,'V28'!G32,'V29'!G32,'V30'!G32,'V31'!G32,'V32'!G32,'V33'!G32,'V34'!G32)) * 100</f>
        <v>77.812363225352456</v>
      </c>
      <c r="H34" s="14">
        <f>IFERROR((G34*0.6)+(F34*0.4),"")</f>
        <v>78.020622364177768</v>
      </c>
    </row>
    <row r="35" spans="1:11">
      <c r="A35" s="1">
        <v>4</v>
      </c>
      <c r="C35" s="2" t="s">
        <v>38</v>
      </c>
      <c r="D35" s="2" t="s">
        <v>5</v>
      </c>
      <c r="E35" s="2" t="s">
        <v>6</v>
      </c>
      <c r="F35" s="2" t="s">
        <v>7</v>
      </c>
      <c r="G35" s="2" t="s">
        <v>8</v>
      </c>
      <c r="H35" s="2" t="s">
        <v>9</v>
      </c>
      <c r="I35" s="2" t="s">
        <v>10</v>
      </c>
      <c r="J35" s="2" t="s">
        <v>11</v>
      </c>
      <c r="K35" s="2" t="s">
        <v>12</v>
      </c>
    </row>
    <row r="36" spans="1:11">
      <c r="B36" s="6" t="s">
        <v>39</v>
      </c>
      <c r="C36" s="2" t="s">
        <v>40</v>
      </c>
      <c r="D36" s="5" t="s">
        <v>41</v>
      </c>
      <c r="E36" s="7">
        <v>506</v>
      </c>
      <c r="F36" s="7">
        <v>11955.04</v>
      </c>
      <c r="G36" s="7">
        <v>2607.7600000000002</v>
      </c>
      <c r="H36" s="8">
        <f>IFERROR(G36/F36,"")</f>
        <v>0.21813059596622011</v>
      </c>
      <c r="I36" s="18">
        <f>IFERROR(((E36/$B$112) / AVERAGE('V25'!E36/'V25'!$B$112, 'V26'!E36/'V26'!$B$112, 'V27'!E36/'V27'!$B$112, 'V28'!E36/'V28'!$B$112, 'V29'!E36/'V29'!$B$112, 'V30'!E36/'V30'!$B$112, 'V31'!E36/'V31'!$B$112, 'V32'!E36/'V32'!$B$112, 'V33'!E36/'V33'!$B$112, 'V34'!E36/'V34'!$B$112)) * 100,"")</f>
        <v>115.54396243054859</v>
      </c>
      <c r="J36" s="18">
        <f>IFERROR(((F36/$B$112) / AVERAGE('V25'!F36/'V25'!$B$112, 'V26'!F36/'V26'!$B$112, 'V27'!F36/'V27'!$B$112, 'V28'!F36/'V28'!$B$112, 'V29'!F36/'V29'!$B$112, 'V30'!F36/'V30'!$B$112, 'V31'!F36/'V31'!$B$112, 'V32'!F36/'V32'!$B$112, 'V33'!F36/'V33'!$B$112, 'V34'!F36/'V34'!$B$112)) * 100,"")</f>
        <v>115.56729137484523</v>
      </c>
      <c r="K36" s="18">
        <f>IFERROR(((G36/$B$112) / AVERAGE('V25'!G36/'V25'!$B$112, 'V26'!G36/'V26'!$B$112, 'V27'!G36/'V27'!$B$112, 'V28'!G36/'V28'!$B$112, 'V29'!G36/'V29'!$B$112, 'V30'!G36/'V30'!$B$112, 'V31'!G36/'V31'!$B$112, 'V32'!G36/'V32'!$B$112, 'V33'!G36/'V33'!$B$112, 'V34'!G36/'V34'!$B$112)) * 100,"")</f>
        <v>112.83927943789844</v>
      </c>
    </row>
    <row r="37" spans="1:11">
      <c r="C37" s="2" t="s">
        <v>42</v>
      </c>
    </row>
    <row r="38" spans="1:11">
      <c r="C38" s="2" t="s">
        <v>43</v>
      </c>
    </row>
    <row r="39" spans="1:11">
      <c r="C39" s="2" t="s">
        <v>44</v>
      </c>
    </row>
    <row r="40" spans="1:11">
      <c r="C40" s="9" t="s">
        <v>19</v>
      </c>
      <c r="D40" s="10"/>
      <c r="E40" s="11">
        <f>SUM(E36:E39)</f>
        <v>506</v>
      </c>
      <c r="F40" s="11">
        <f>SUM(F36:F39)</f>
        <v>11955.04</v>
      </c>
      <c r="G40" s="11">
        <f>SUM(G36:G39)</f>
        <v>2607.7600000000002</v>
      </c>
      <c r="H40" s="12">
        <f>IFERROR(G40/F40,"")</f>
        <v>0.21813059596622011</v>
      </c>
    </row>
    <row r="41" spans="1:11">
      <c r="B41" s="5" t="s">
        <v>20</v>
      </c>
      <c r="E41" s="16">
        <f>IFERROR((E40-('V34'!E40))/('V34'!E40),"")</f>
        <v>-0.10758377425044091</v>
      </c>
      <c r="F41" s="16">
        <f>IFERROR((F40-('V34'!F40))/('V34'!F40),"")</f>
        <v>-0.10711853064541182</v>
      </c>
      <c r="G41" s="16">
        <f>IFERROR((G40-('V34'!G40))/('V34'!G40),"")</f>
        <v>-0.13030602171767022</v>
      </c>
      <c r="H41" s="16">
        <f>IFERROR(H40-('V34'!H40),"")</f>
        <v>-5.8157252698732287E-3</v>
      </c>
    </row>
    <row r="42" spans="1:11">
      <c r="B42" s="5" t="s">
        <v>21</v>
      </c>
      <c r="E42" s="13">
        <f>E40/$B$112</f>
        <v>3.1619071424107976E-2</v>
      </c>
      <c r="F42" s="13">
        <f>F40/$B$112</f>
        <v>0.74704992813847404</v>
      </c>
      <c r="G42" s="13">
        <f>G40/$B$112</f>
        <v>0.16295444604136725</v>
      </c>
    </row>
    <row r="43" spans="1:11">
      <c r="B43" s="5" t="s">
        <v>22</v>
      </c>
      <c r="E43" s="8">
        <f>IFERROR((E42-'V34'!E42)/'V34'!E42,"")</f>
        <v>-2.1593283710803518E-2</v>
      </c>
      <c r="F43" s="8">
        <f>IFERROR((F42-'V34'!F42)/'V34'!F42,"")</f>
        <v>-2.1083210658860884E-2</v>
      </c>
      <c r="G43" s="8">
        <f>IFERROR((G42-'V34'!G42)/'V34'!G42,"")</f>
        <v>-4.6504977256547259E-2</v>
      </c>
    </row>
    <row r="44" spans="1:11">
      <c r="B44" s="5" t="s">
        <v>23</v>
      </c>
      <c r="E44" s="18">
        <f>(E42 / AVERAGE('V25'!E42,'V26'!E42,'V27'!E42,'V28'!E42,'V29'!E42,'V30'!E42,'V31'!E42,'V32'!E42,'V33'!E42,'V34'!E42)) * 100</f>
        <v>115.54396243054859</v>
      </c>
      <c r="F44" s="18">
        <f>(F42 / AVERAGE('V25'!F42,'V26'!F42,'V27'!F42,'V28'!F42,'V29'!F42,'V30'!F42,'V31'!F42,'V32'!F42,'V33'!F42,'V34'!F42)) * 100</f>
        <v>115.56729137484523</v>
      </c>
      <c r="G44" s="18">
        <f>(G42 / AVERAGE('V25'!G42,'V26'!G42,'V27'!G42,'V28'!G42,'V29'!G42,'V30'!G42,'V31'!G42,'V32'!G42,'V33'!G42,'V34'!G42)) * 100</f>
        <v>112.83927943789844</v>
      </c>
      <c r="H44" s="14">
        <f>IFERROR((G44*0.6)+(F44*0.4),"")</f>
        <v>113.93048421267716</v>
      </c>
    </row>
    <row r="45" spans="1:11">
      <c r="A45" s="1">
        <v>5</v>
      </c>
      <c r="C45" s="2" t="s">
        <v>45</v>
      </c>
      <c r="D45" s="2" t="s">
        <v>5</v>
      </c>
      <c r="E45" s="2" t="s">
        <v>6</v>
      </c>
      <c r="F45" s="2" t="s">
        <v>7</v>
      </c>
      <c r="G45" s="2" t="s">
        <v>8</v>
      </c>
      <c r="H45" s="2" t="s">
        <v>9</v>
      </c>
      <c r="I45" s="2" t="s">
        <v>10</v>
      </c>
      <c r="J45" s="2" t="s">
        <v>11</v>
      </c>
      <c r="K45" s="2" t="s">
        <v>12</v>
      </c>
    </row>
    <row r="46" spans="1:11">
      <c r="B46" s="6" t="s">
        <v>46</v>
      </c>
      <c r="C46" s="2" t="s">
        <v>47</v>
      </c>
      <c r="D46" s="5" t="s">
        <v>48</v>
      </c>
      <c r="E46" s="7">
        <v>162</v>
      </c>
      <c r="F46" s="7">
        <v>12830.4</v>
      </c>
      <c r="G46" s="7">
        <v>1350.4</v>
      </c>
      <c r="H46" s="8">
        <f>IFERROR(G46/F46,"")</f>
        <v>0.10525003117595712</v>
      </c>
      <c r="I46" s="18">
        <f>IFERROR(((E46/$B$112) / AVERAGE('V25'!E46/'V25'!$B$112, 'V26'!E46/'V26'!$B$112, 'V27'!E46/'V27'!$B$112, 'V28'!E46/'V28'!$B$112, 'V29'!E46/'V29'!$B$112, 'V30'!E46/'V30'!$B$112, 'V31'!E46/'V31'!$B$112, 'V32'!E46/'V32'!$B$112, 'V33'!E46/'V33'!$B$112, 'V34'!E46/'V34'!$B$112)) * 100,"")</f>
        <v>91.167116633673487</v>
      </c>
      <c r="J46" s="18">
        <f>IFERROR(((F46/$B$112) / AVERAGE('V25'!F46/'V25'!$B$112, 'V26'!F46/'V26'!$B$112, 'V27'!F46/'V27'!$B$112, 'V28'!F46/'V28'!$B$112, 'V29'!F46/'V29'!$B$112, 'V30'!F46/'V30'!$B$112, 'V31'!F46/'V31'!$B$112, 'V32'!F46/'V32'!$B$112, 'V33'!F46/'V33'!$B$112, 'V34'!F46/'V34'!$B$112)) * 100,"")</f>
        <v>94.128720454994692</v>
      </c>
      <c r="K46" s="18">
        <f>IFERROR(((G46/$B$112) / AVERAGE('V25'!G46/'V25'!$B$112, 'V26'!G46/'V26'!$B$112, 'V27'!G46/'V27'!$B$112, 'V28'!G46/'V28'!$B$112, 'V29'!G46/'V29'!$B$112, 'V30'!G46/'V30'!$B$112, 'V31'!G46/'V31'!$B$112, 'V32'!G46/'V32'!$B$112, 'V33'!G46/'V33'!$B$112, 'V34'!G46/'V34'!$B$112)) * 100,"")</f>
        <v>133.95524249361989</v>
      </c>
    </row>
    <row r="47" spans="1:11">
      <c r="C47" s="2" t="s">
        <v>49</v>
      </c>
    </row>
    <row r="48" spans="1:11">
      <c r="C48" s="2" t="s">
        <v>50</v>
      </c>
    </row>
    <row r="49" spans="1:11">
      <c r="C49" s="2" t="s">
        <v>51</v>
      </c>
    </row>
    <row r="50" spans="1:11">
      <c r="C50" s="9" t="s">
        <v>19</v>
      </c>
      <c r="D50" s="10"/>
      <c r="E50" s="11">
        <f>SUM(E46:E49)</f>
        <v>162</v>
      </c>
      <c r="F50" s="11">
        <f>SUM(F46:F49)</f>
        <v>12830.4</v>
      </c>
      <c r="G50" s="11">
        <f>SUM(G46:G49)</f>
        <v>1350.4</v>
      </c>
      <c r="H50" s="12">
        <f>IFERROR(G50/F50,"")</f>
        <v>0.10525003117595712</v>
      </c>
    </row>
    <row r="51" spans="1:11">
      <c r="B51" s="5" t="s">
        <v>20</v>
      </c>
      <c r="E51" s="16">
        <f>IFERROR((E50-('V34'!E50))/('V34'!E50),"")</f>
        <v>-0.18181818181818182</v>
      </c>
      <c r="F51" s="16">
        <f>IFERROR((F50-('V34'!F50))/('V34'!F50),"")</f>
        <v>-0.18181818181818185</v>
      </c>
      <c r="G51" s="16">
        <f>IFERROR((G50-('V34'!G50))/('V34'!G50),"")</f>
        <v>-0.22904772779173319</v>
      </c>
      <c r="H51" s="16">
        <f>IFERROR(H50-('V34'!H50),"")</f>
        <v>-6.4477547642530497E-3</v>
      </c>
    </row>
    <row r="52" spans="1:11">
      <c r="B52" s="5" t="s">
        <v>21</v>
      </c>
      <c r="E52" s="13">
        <f>E50/$B$112</f>
        <v>1.0123101918390302E-2</v>
      </c>
      <c r="F52" s="13">
        <f>F50/$B$112</f>
        <v>0.80174967193651192</v>
      </c>
      <c r="G52" s="13">
        <f>G50/$B$112</f>
        <v>8.4384177966631266E-2</v>
      </c>
    </row>
    <row r="53" spans="1:11">
      <c r="B53" s="5" t="s">
        <v>22</v>
      </c>
      <c r="E53" s="8">
        <f>IFERROR((E52-'V34'!E52)/'V34'!E52,"")</f>
        <v>-0.10298069112041484</v>
      </c>
      <c r="F53" s="8">
        <f>IFERROR((F52-'V34'!F52)/'V34'!F52,"")</f>
        <v>-0.10298069112041494</v>
      </c>
      <c r="G53" s="8">
        <f>IFERROR((G52-'V34'!G52)/'V34'!G52,"")</f>
        <v>-0.15476113129450469</v>
      </c>
    </row>
    <row r="54" spans="1:11">
      <c r="B54" s="5" t="s">
        <v>23</v>
      </c>
      <c r="E54" s="18">
        <f>(E52 / AVERAGE('V25'!E52,'V26'!E52,'V27'!E52,'V28'!E52,'V29'!E52,'V30'!E52,'V31'!E52,'V32'!E52,'V33'!E52,'V34'!E52)) * 100</f>
        <v>91.167116633673487</v>
      </c>
      <c r="F54" s="18">
        <f>(F52 / AVERAGE('V25'!F52,'V26'!F52,'V27'!F52,'V28'!F52,'V29'!F52,'V30'!F52,'V31'!F52,'V32'!F52,'V33'!F52,'V34'!F52)) * 100</f>
        <v>94.128720454994692</v>
      </c>
      <c r="G54" s="18">
        <f>(G52 / AVERAGE('V25'!G52,'V26'!G52,'V27'!G52,'V28'!G52,'V29'!G52,'V30'!G52,'V31'!G52,'V32'!G52,'V33'!G52,'V34'!G52)) * 100</f>
        <v>133.95524249361989</v>
      </c>
      <c r="H54" s="14">
        <f>IFERROR((G54*0.6)+(F54*0.4),"")</f>
        <v>118.02463367816981</v>
      </c>
    </row>
    <row r="55" spans="1:11">
      <c r="A55" s="1">
        <v>6</v>
      </c>
      <c r="C55" s="2" t="s">
        <v>52</v>
      </c>
      <c r="D55" s="2" t="s">
        <v>5</v>
      </c>
      <c r="E55" s="2" t="s">
        <v>6</v>
      </c>
      <c r="F55" s="2" t="s">
        <v>7</v>
      </c>
      <c r="G55" s="2" t="s">
        <v>8</v>
      </c>
      <c r="H55" s="2" t="s">
        <v>9</v>
      </c>
      <c r="I55" s="2" t="s">
        <v>10</v>
      </c>
      <c r="J55" s="2" t="s">
        <v>11</v>
      </c>
      <c r="K55" s="2" t="s">
        <v>12</v>
      </c>
    </row>
    <row r="56" spans="1:11">
      <c r="B56" s="6" t="s">
        <v>53</v>
      </c>
      <c r="C56" s="2" t="s">
        <v>54</v>
      </c>
      <c r="D56" s="5" t="s">
        <v>55</v>
      </c>
      <c r="E56" s="7">
        <v>172</v>
      </c>
      <c r="F56" s="7">
        <v>7010.72</v>
      </c>
      <c r="G56" s="7">
        <v>1506.72</v>
      </c>
      <c r="H56" s="8">
        <f>IFERROR(G56/F56,"")</f>
        <v>0.21491658488714427</v>
      </c>
      <c r="I56" s="18">
        <f>IFERROR(((E56/$B$112) / AVERAGE('V25'!E56/'V25'!$B$112, 'V26'!E56/'V26'!$B$112, 'V27'!E56/'V27'!$B$112, 'V28'!E56/'V28'!$B$112, 'V29'!E56/'V29'!$B$112, 'V30'!E56/'V30'!$B$112, 'V31'!E56/'V31'!$B$112, 'V32'!E56/'V32'!$B$112, 'V33'!E56/'V33'!$B$112, 'V34'!E56/'V34'!$B$112)) * 100,"")</f>
        <v>105.99605507107404</v>
      </c>
      <c r="J56" s="18">
        <f>IFERROR(((F56/$B$112) / AVERAGE('V25'!F56/'V25'!$B$112, 'V26'!F56/'V26'!$B$112, 'V27'!F56/'V27'!$B$112, 'V28'!F56/'V28'!$B$112, 'V29'!F56/'V29'!$B$112, 'V30'!F56/'V30'!$B$112, 'V31'!F56/'V31'!$B$112, 'V32'!F56/'V32'!$B$112, 'V33'!F56/'V33'!$B$112, 'V34'!F56/'V34'!$B$112)) * 100,"")</f>
        <v>106.00110659892958</v>
      </c>
      <c r="K56" s="18">
        <f>IFERROR(((G56/$B$112) / AVERAGE('V25'!G56/'V25'!$B$112, 'V26'!G56/'V26'!$B$112, 'V27'!G56/'V27'!$B$112, 'V28'!G56/'V28'!$B$112, 'V29'!G56/'V29'!$B$112, 'V30'!G56/'V30'!$B$112, 'V31'!G56/'V31'!$B$112, 'V32'!G56/'V32'!$B$112, 'V33'!G56/'V33'!$B$112, 'V34'!G56/'V34'!$B$112)) * 100,"")</f>
        <v>106.85127759966979</v>
      </c>
    </row>
    <row r="57" spans="1:11">
      <c r="C57" s="2" t="s">
        <v>56</v>
      </c>
    </row>
    <row r="58" spans="1:11">
      <c r="C58" s="2" t="s">
        <v>57</v>
      </c>
    </row>
    <row r="59" spans="1:11">
      <c r="C59" s="2" t="s">
        <v>58</v>
      </c>
    </row>
    <row r="60" spans="1:11">
      <c r="C60" s="9" t="s">
        <v>19</v>
      </c>
      <c r="D60" s="10"/>
      <c r="E60" s="11">
        <f>SUM(E56:E59)</f>
        <v>172</v>
      </c>
      <c r="F60" s="11">
        <f>SUM(F56:F59)</f>
        <v>7010.72</v>
      </c>
      <c r="G60" s="11">
        <f>SUM(G56:G59)</f>
        <v>1506.72</v>
      </c>
      <c r="H60" s="12">
        <f>IFERROR(G60/F60,"")</f>
        <v>0.21491658488714427</v>
      </c>
    </row>
    <row r="61" spans="1:11">
      <c r="B61" s="5" t="s">
        <v>20</v>
      </c>
      <c r="E61" s="16">
        <f>IFERROR((E60-('V34'!E60))/('V34'!E60),"")</f>
        <v>-0.312</v>
      </c>
      <c r="F61" s="16">
        <f>IFERROR((F60-('V34'!F60))/('V34'!F60),"")</f>
        <v>-0.312</v>
      </c>
      <c r="G61" s="16">
        <f>IFERROR((G60-('V34'!G60))/('V34'!G60),"")</f>
        <v>-0.312</v>
      </c>
      <c r="H61" s="16">
        <f>IFERROR(H60-('V34'!H60),"")</f>
        <v>0</v>
      </c>
    </row>
    <row r="62" spans="1:11">
      <c r="B62" s="5" t="s">
        <v>21</v>
      </c>
      <c r="E62" s="13">
        <f>E60/$B$112</f>
        <v>1.0747984752858838E-2</v>
      </c>
      <c r="F62" s="13">
        <f>F60/$B$112</f>
        <v>0.43808785852652632</v>
      </c>
      <c r="G62" s="13">
        <f>G60/$B$112</f>
        <v>9.415234643504343E-2</v>
      </c>
    </row>
    <row r="63" spans="1:11">
      <c r="B63" s="5" t="s">
        <v>22</v>
      </c>
      <c r="E63" s="8">
        <f>IFERROR((E62-'V34'!E62)/'V34'!E62,"")</f>
        <v>-0.24570643004436674</v>
      </c>
      <c r="F63" s="8">
        <f>IFERROR((F62-'V34'!F62)/'V34'!F62,"")</f>
        <v>-0.2457064300443666</v>
      </c>
      <c r="G63" s="8">
        <f>IFERROR((G62-'V34'!G62)/'V34'!G62,"")</f>
        <v>-0.24570643004436671</v>
      </c>
    </row>
    <row r="64" spans="1:11">
      <c r="B64" s="5" t="s">
        <v>23</v>
      </c>
      <c r="E64" s="18">
        <f>(E62 / AVERAGE('V25'!E62,'V26'!E62,'V27'!E62,'V28'!E62,'V29'!E62,'V30'!E62,'V31'!E62,'V32'!E62,'V33'!E62,'V34'!E62)) * 100</f>
        <v>105.99605507107404</v>
      </c>
      <c r="F64" s="18">
        <f>(F62 / AVERAGE('V25'!F62,'V26'!F62,'V27'!F62,'V28'!F62,'V29'!F62,'V30'!F62,'V31'!F62,'V32'!F62,'V33'!F62,'V34'!F62)) * 100</f>
        <v>106.00110659892958</v>
      </c>
      <c r="G64" s="18">
        <f>(G62 / AVERAGE('V25'!G62,'V26'!G62,'V27'!G62,'V28'!G62,'V29'!G62,'V30'!G62,'V31'!G62,'V32'!G62,'V33'!G62,'V34'!G62)) * 100</f>
        <v>106.85127759966979</v>
      </c>
      <c r="H64" s="14">
        <f>IFERROR((G64*0.6)+(F64*0.4),"")</f>
        <v>106.51120919937371</v>
      </c>
    </row>
    <row r="65" spans="1:11">
      <c r="A65" s="1">
        <v>7</v>
      </c>
      <c r="C65" s="2" t="s">
        <v>59</v>
      </c>
      <c r="D65" s="2" t="s">
        <v>5</v>
      </c>
      <c r="E65" s="2" t="s">
        <v>6</v>
      </c>
      <c r="F65" s="2" t="s">
        <v>7</v>
      </c>
      <c r="G65" s="2" t="s">
        <v>8</v>
      </c>
      <c r="H65" s="2" t="s">
        <v>9</v>
      </c>
      <c r="I65" s="2" t="s">
        <v>10</v>
      </c>
      <c r="J65" s="2" t="s">
        <v>11</v>
      </c>
      <c r="K65" s="2" t="s">
        <v>12</v>
      </c>
    </row>
    <row r="66" spans="1:11">
      <c r="B66" s="6" t="s">
        <v>60</v>
      </c>
      <c r="C66" s="2" t="s">
        <v>61</v>
      </c>
      <c r="D66" s="5" t="s">
        <v>62</v>
      </c>
      <c r="E66" s="7">
        <v>128</v>
      </c>
      <c r="F66" s="7">
        <v>2653.12</v>
      </c>
      <c r="G66" s="7">
        <v>611.52</v>
      </c>
      <c r="H66" s="8">
        <f>IFERROR(G66/F66,"")</f>
        <v>0.23049089374020021</v>
      </c>
      <c r="I66" s="18">
        <f>IFERROR(((E66/$B$112) / AVERAGE('V25'!E66/'V25'!$B$112, 'V26'!E66/'V26'!$B$112, 'V27'!E66/'V27'!$B$112, 'V28'!E66/'V28'!$B$112, 'V29'!E66/'V29'!$B$112, 'V30'!E66/'V30'!$B$112, 'V31'!E66/'V31'!$B$112, 'V32'!E66/'V32'!$B$112, 'V33'!E66/'V33'!$B$112, 'V34'!E66/'V34'!$B$112)) * 100,"")</f>
        <v>118.67873151280999</v>
      </c>
      <c r="J66" s="18">
        <f>IFERROR(((F66/$B$112) / AVERAGE('V25'!F66/'V25'!$B$112, 'V26'!F66/'V26'!$B$112, 'V27'!F66/'V27'!$B$112, 'V28'!F66/'V28'!$B$112, 'V29'!F66/'V29'!$B$112, 'V30'!F66/'V30'!$B$112, 'V31'!F66/'V31'!$B$112, 'V32'!F66/'V32'!$B$112, 'V33'!F66/'V33'!$B$112, 'V34'!F66/'V34'!$B$112)) * 100,"")</f>
        <v>118.53803907391315</v>
      </c>
      <c r="K66" s="18">
        <f>IFERROR(((G66/$B$112) / AVERAGE('V25'!G66/'V25'!$B$112, 'V26'!G66/'V26'!$B$112, 'V27'!G66/'V27'!$B$112, 'V28'!G66/'V28'!$B$112, 'V29'!G66/'V29'!$B$112, 'V30'!G66/'V30'!$B$112, 'V31'!G66/'V31'!$B$112, 'V32'!G66/'V32'!$B$112, 'V33'!G66/'V33'!$B$112, 'V34'!G66/'V34'!$B$112)) * 100,"")</f>
        <v>118.07073440658557</v>
      </c>
    </row>
    <row r="67" spans="1:11">
      <c r="C67" s="2" t="s">
        <v>63</v>
      </c>
    </row>
    <row r="68" spans="1:11">
      <c r="C68" s="2" t="s">
        <v>64</v>
      </c>
    </row>
    <row r="69" spans="1:11">
      <c r="C69" s="2" t="s">
        <v>65</v>
      </c>
    </row>
    <row r="70" spans="1:11">
      <c r="C70" s="9" t="s">
        <v>19</v>
      </c>
      <c r="D70" s="10"/>
      <c r="E70" s="11">
        <f>SUM(E66:E69)</f>
        <v>128</v>
      </c>
      <c r="F70" s="11">
        <f>SUM(F66:F69)</f>
        <v>2653.12</v>
      </c>
      <c r="G70" s="11">
        <f>SUM(G66:G69)</f>
        <v>611.52</v>
      </c>
      <c r="H70" s="12">
        <f>IFERROR(G70/F70,"")</f>
        <v>0.23049089374020021</v>
      </c>
    </row>
    <row r="71" spans="1:11">
      <c r="B71" s="5" t="s">
        <v>20</v>
      </c>
      <c r="E71" s="16">
        <f>IFERROR((E70-('V34'!E70))/('V34'!E70),"")</f>
        <v>-9.2198581560283682E-2</v>
      </c>
      <c r="F71" s="16">
        <f>IFERROR((F70-('V34'!F70))/('V34'!F70),"")</f>
        <v>-9.3619754301097299E-2</v>
      </c>
      <c r="G71" s="16">
        <f>IFERROR((G70-('V34'!G70))/('V34'!G70),"")</f>
        <v>-9.8332374928119679E-2</v>
      </c>
      <c r="H71" s="16">
        <f>IFERROR(H70-('V34'!H70),"")</f>
        <v>-1.2046746605705316E-3</v>
      </c>
    </row>
    <row r="72" spans="1:11">
      <c r="B72" s="5" t="s">
        <v>21</v>
      </c>
      <c r="E72" s="13">
        <f>E70/$B$112</f>
        <v>7.9985002811972759E-3</v>
      </c>
      <c r="F72" s="13">
        <f>F70/$B$112</f>
        <v>0.16578891457851652</v>
      </c>
      <c r="G72" s="13">
        <f>G70/$B$112</f>
        <v>3.8212835093419981E-2</v>
      </c>
    </row>
    <row r="73" spans="1:11">
      <c r="B73" s="5" t="s">
        <v>22</v>
      </c>
      <c r="E73" s="8">
        <f>IFERROR((E72-'V34'!E72)/'V34'!E72,"")</f>
        <v>-4.7256210382538777E-3</v>
      </c>
      <c r="F73" s="8">
        <f>IFERROR((F72-'V34'!F72)/'V34'!F72,"")</f>
        <v>-6.2837336257421036E-3</v>
      </c>
      <c r="G73" s="8">
        <f>IFERROR((G72-'V34'!G72)/'V34'!G72,"")</f>
        <v>-1.1450447923130654E-2</v>
      </c>
    </row>
    <row r="74" spans="1:11">
      <c r="B74" s="5" t="s">
        <v>23</v>
      </c>
      <c r="E74" s="18">
        <f>(E72 / AVERAGE('V25'!E72,'V26'!E72,'V27'!E72,'V28'!E72,'V29'!E72,'V30'!E72,'V31'!E72,'V32'!E72,'V33'!E72,'V34'!E72)) * 100</f>
        <v>118.67873151280999</v>
      </c>
      <c r="F74" s="18">
        <f>(F72 / AVERAGE('V25'!F72,'V26'!F72,'V27'!F72,'V28'!F72,'V29'!F72,'V30'!F72,'V31'!F72,'V32'!F72,'V33'!F72,'V34'!F72)) * 100</f>
        <v>118.53803907391315</v>
      </c>
      <c r="G74" s="18">
        <f>(G72 / AVERAGE('V25'!G72,'V26'!G72,'V27'!G72,'V28'!G72,'V29'!G72,'V30'!G72,'V31'!G72,'V32'!G72,'V33'!G72,'V34'!G72)) * 100</f>
        <v>118.07073440658557</v>
      </c>
      <c r="H74" s="14">
        <f>IFERROR((G74*0.6)+(F74*0.4),"")</f>
        <v>118.2576562735166</v>
      </c>
    </row>
    <row r="75" spans="1:11">
      <c r="A75" s="1">
        <v>8</v>
      </c>
      <c r="C75" s="2" t="s">
        <v>66</v>
      </c>
      <c r="D75" s="2" t="s">
        <v>5</v>
      </c>
      <c r="E75" s="2" t="s">
        <v>6</v>
      </c>
      <c r="F75" s="2" t="s">
        <v>7</v>
      </c>
      <c r="G75" s="2" t="s">
        <v>8</v>
      </c>
      <c r="H75" s="2" t="s">
        <v>9</v>
      </c>
      <c r="I75" s="2" t="s">
        <v>10</v>
      </c>
      <c r="J75" s="2" t="s">
        <v>11</v>
      </c>
      <c r="K75" s="2" t="s">
        <v>12</v>
      </c>
    </row>
    <row r="76" spans="1:11">
      <c r="B76" s="6" t="s">
        <v>114</v>
      </c>
      <c r="C76" s="2" t="s">
        <v>68</v>
      </c>
      <c r="D76" s="5" t="s">
        <v>115</v>
      </c>
      <c r="E76" s="7">
        <v>166</v>
      </c>
      <c r="F76" s="7">
        <v>3320</v>
      </c>
      <c r="G76" s="7">
        <v>763.6</v>
      </c>
      <c r="H76" s="8">
        <f>IFERROR(G76/F76,"")</f>
        <v>0.23</v>
      </c>
      <c r="I76" s="18">
        <f>IFERROR(((E76/$B$112) / AVERAGE('V25'!E76/'V25'!$B$112, 'V26'!E76/'V26'!$B$112, 'V27'!E76/'V27'!$B$112, 'V28'!E76/'V28'!$B$112, 'V29'!E76/'V29'!$B$112, 'V30'!E76/'V30'!$B$112, 'V31'!E76/'V31'!$B$112, 'V32'!E76/'V32'!$B$112, 'V33'!E76/'V33'!$B$112, 'V34'!E76/'V34'!$B$112)) * 100,"")</f>
        <v>264.31000200547589</v>
      </c>
      <c r="J76" s="18">
        <f>IFERROR(((F76/$B$112) / AVERAGE('V25'!F76/'V25'!$B$112, 'V26'!F76/'V26'!$B$112, 'V27'!F76/'V27'!$B$112, 'V28'!F76/'V28'!$B$112, 'V29'!F76/'V29'!$B$112, 'V30'!F76/'V30'!$B$112, 'V31'!F76/'V31'!$B$112, 'V32'!F76/'V32'!$B$112, 'V33'!F76/'V33'!$B$112, 'V34'!F76/'V34'!$B$112)) * 100,"")</f>
        <v>203.46765856040184</v>
      </c>
      <c r="K76" s="18">
        <f>IFERROR(((G76/$B$112) / AVERAGE('V25'!G76/'V25'!$B$112, 'V26'!G76/'V26'!$B$112, 'V27'!G76/'V27'!$B$112, 'V28'!G76/'V28'!$B$112, 'V29'!G76/'V29'!$B$112, 'V30'!G76/'V30'!$B$112, 'V31'!G76/'V31'!$B$112, 'V32'!G76/'V32'!$B$112, 'V33'!G76/'V33'!$B$112, 'V34'!G76/'V34'!$B$112)) * 100,"")</f>
        <v>210.97187787110968</v>
      </c>
    </row>
    <row r="77" spans="1:11">
      <c r="C77" s="2" t="s">
        <v>70</v>
      </c>
    </row>
    <row r="78" spans="1:11">
      <c r="C78" s="2" t="s">
        <v>71</v>
      </c>
    </row>
    <row r="79" spans="1:11">
      <c r="C79" s="2" t="s">
        <v>72</v>
      </c>
    </row>
    <row r="80" spans="1:11">
      <c r="C80" s="9" t="s">
        <v>19</v>
      </c>
      <c r="D80" s="10"/>
      <c r="E80" s="11">
        <f>SUM(E76:E79)</f>
        <v>166</v>
      </c>
      <c r="F80" s="11">
        <f>SUM(F76:F79)</f>
        <v>3320</v>
      </c>
      <c r="G80" s="11">
        <f>SUM(G76:G79)</f>
        <v>763.6</v>
      </c>
      <c r="H80" s="12">
        <f>IFERROR(G80/F80,"")</f>
        <v>0.23</v>
      </c>
    </row>
    <row r="81" spans="1:11">
      <c r="B81" s="5" t="s">
        <v>20</v>
      </c>
      <c r="E81" s="16">
        <f>IFERROR((E80-('V34'!E80))/('V34'!E80),"")</f>
        <v>-8.2872928176795577E-2</v>
      </c>
      <c r="F81" s="16">
        <f>IFERROR((F80-('V34'!F80))/('V34'!F80),"")</f>
        <v>-8.2872928176795577E-2</v>
      </c>
      <c r="G81" s="16">
        <f>IFERROR((G80-('V34'!G80))/('V34'!G80),"")</f>
        <v>-8.2872928176795577E-2</v>
      </c>
      <c r="H81" s="16">
        <f>IFERROR(H80-('V34'!H80),"")</f>
        <v>0</v>
      </c>
    </row>
    <row r="82" spans="1:11">
      <c r="B82" s="5" t="s">
        <v>21</v>
      </c>
      <c r="E82" s="13">
        <f>E80/$B$112</f>
        <v>1.0373055052177716E-2</v>
      </c>
      <c r="F82" s="13">
        <f>F80/$B$112</f>
        <v>0.20746110104355434</v>
      </c>
      <c r="G82" s="13">
        <f>G80/$B$112</f>
        <v>4.77160532400175E-2</v>
      </c>
    </row>
    <row r="83" spans="1:11">
      <c r="B83" s="5" t="s">
        <v>22</v>
      </c>
      <c r="E83" s="8">
        <f>IFERROR((E82-'V34'!E82)/'V34'!E82,"")</f>
        <v>5.4986237041879348E-3</v>
      </c>
      <c r="F83" s="8">
        <f>IFERROR((F82-'V34'!F82)/'V34'!F82,"")</f>
        <v>5.4986237041881368E-3</v>
      </c>
      <c r="G83" s="8">
        <f>IFERROR((G82-'V34'!G82)/'V34'!G82,"")</f>
        <v>5.4986237041881542E-3</v>
      </c>
    </row>
    <row r="84" spans="1:11">
      <c r="B84" s="5" t="s">
        <v>23</v>
      </c>
      <c r="E84" s="18">
        <f>(E82 / AVERAGE('V25'!E82,'V26'!E82,'V27'!E82,'V28'!E82,'V29'!E82,'V30'!E82,'V31'!E82,'V32'!E82,'V33'!E82,'V34'!E82)) * 100</f>
        <v>264.31000200547589</v>
      </c>
      <c r="F84" s="18">
        <f>(F82 / AVERAGE('V25'!F82,'V26'!F82,'V27'!F82,'V28'!F82,'V29'!F82,'V30'!F82,'V31'!F82,'V32'!F82,'V33'!F82,'V34'!F82)) * 100</f>
        <v>203.46765856040184</v>
      </c>
      <c r="G84" s="18">
        <f>(G82 / AVERAGE('V25'!G82,'V26'!G82,'V27'!G82,'V28'!G82,'V29'!G82,'V30'!G82,'V31'!G82,'V32'!G82,'V33'!G82,'V34'!G82)) * 100</f>
        <v>210.97187787110968</v>
      </c>
      <c r="H84" s="14">
        <f>IFERROR((G84*0.6)+(F84*0.4),"")</f>
        <v>207.97019014682655</v>
      </c>
    </row>
    <row r="85" spans="1:11">
      <c r="A85" s="1">
        <v>9</v>
      </c>
      <c r="C85" s="2" t="s">
        <v>73</v>
      </c>
      <c r="D85" s="2" t="s">
        <v>5</v>
      </c>
      <c r="E85" s="2" t="s">
        <v>6</v>
      </c>
      <c r="F85" s="2" t="s">
        <v>7</v>
      </c>
      <c r="G85" s="2" t="s">
        <v>8</v>
      </c>
      <c r="H85" s="2" t="s">
        <v>9</v>
      </c>
      <c r="I85" s="2" t="s">
        <v>10</v>
      </c>
      <c r="J85" s="2" t="s">
        <v>11</v>
      </c>
      <c r="K85" s="2" t="s">
        <v>12</v>
      </c>
    </row>
    <row r="86" spans="1:11">
      <c r="B86" s="6" t="s">
        <v>74</v>
      </c>
      <c r="C86" s="2" t="s">
        <v>75</v>
      </c>
      <c r="D86" s="5" t="s">
        <v>76</v>
      </c>
      <c r="E86" s="7">
        <v>239</v>
      </c>
      <c r="F86" s="7">
        <v>8602.2000000000007</v>
      </c>
      <c r="G86" s="7">
        <v>1436.98</v>
      </c>
      <c r="H86" s="8">
        <f>IFERROR(G86/F86,"")</f>
        <v>0.16704796447420425</v>
      </c>
      <c r="I86" s="18">
        <f>IFERROR(((E86/$B$112) / AVERAGE('V25'!E86/'V25'!$B$112, 'V26'!E86/'V26'!$B$112, 'V27'!E86/'V27'!$B$112, 'V28'!E86/'V28'!$B$112, 'V29'!E86/'V29'!$B$112, 'V30'!E86/'V30'!$B$112, 'V31'!E86/'V31'!$B$112, 'V32'!E86/'V32'!$B$112, 'V33'!E86/'V33'!$B$112, 'V34'!E86/'V34'!$B$112)) * 100,"")</f>
        <v>128.53346473681958</v>
      </c>
      <c r="J86" s="18">
        <f>IFERROR(((F86/$B$112) / AVERAGE('V25'!F86/'V25'!$B$112, 'V26'!F86/'V26'!$B$112, 'V27'!F86/'V27'!$B$112, 'V28'!F86/'V28'!$B$112, 'V29'!F86/'V29'!$B$112, 'V30'!F86/'V30'!$B$112, 'V31'!F86/'V31'!$B$112, 'V32'!F86/'V32'!$B$112, 'V33'!F86/'V33'!$B$112, 'V34'!F86/'V34'!$B$112)) * 100,"")</f>
        <v>128.51762821460119</v>
      </c>
      <c r="K86" s="18">
        <f>IFERROR(((G86/$B$112) / AVERAGE('V25'!G86/'V25'!$B$112, 'V26'!G86/'V26'!$B$112, 'V27'!G86/'V27'!$B$112, 'V28'!G86/'V28'!$B$112, 'V29'!G86/'V29'!$B$112, 'V30'!G86/'V30'!$B$112, 'V31'!G86/'V31'!$B$112, 'V32'!G86/'V32'!$B$112, 'V33'!G86/'V33'!$B$112, 'V34'!G86/'V34'!$B$112)) * 100,"")</f>
        <v>127.41534225134848</v>
      </c>
    </row>
    <row r="87" spans="1:11">
      <c r="C87" s="2" t="s">
        <v>77</v>
      </c>
    </row>
    <row r="88" spans="1:11">
      <c r="C88" s="2" t="s">
        <v>78</v>
      </c>
    </row>
    <row r="89" spans="1:11">
      <c r="C89" s="2" t="s">
        <v>79</v>
      </c>
    </row>
    <row r="90" spans="1:11">
      <c r="C90" s="9" t="s">
        <v>19</v>
      </c>
      <c r="D90" s="10"/>
      <c r="E90" s="11">
        <f>SUM(E86:E89)</f>
        <v>239</v>
      </c>
      <c r="F90" s="11">
        <f>SUM(F86:F89)</f>
        <v>8602.2000000000007</v>
      </c>
      <c r="G90" s="11">
        <f>SUM(G86:G89)</f>
        <v>1436.98</v>
      </c>
      <c r="H90" s="12">
        <f>IFERROR(G90/F90,"")</f>
        <v>0.16704796447420425</v>
      </c>
    </row>
    <row r="91" spans="1:11">
      <c r="B91" s="5" t="s">
        <v>20</v>
      </c>
      <c r="E91" s="16">
        <f>IFERROR((E90-('V34'!E90))/('V34'!E90),"")</f>
        <v>-0.15547703180212014</v>
      </c>
      <c r="F91" s="16">
        <f>IFERROR((F90-('V34'!F90))/('V34'!F90),"")</f>
        <v>-0.15550450609648347</v>
      </c>
      <c r="G91" s="16">
        <f>IFERROR((G90-('V34'!G90))/('V34'!G90),"")</f>
        <v>-0.15564147462188424</v>
      </c>
      <c r="H91" s="16">
        <f>IFERROR(H90-('V34'!H90),"")</f>
        <v>-2.7097865039016344E-5</v>
      </c>
    </row>
    <row r="92" spans="1:11">
      <c r="B92" s="5" t="s">
        <v>21</v>
      </c>
      <c r="E92" s="13">
        <f>E90/$B$112</f>
        <v>1.4934699743798038E-2</v>
      </c>
      <c r="F92" s="13">
        <f>F90/$B$112</f>
        <v>0.53753671186652507</v>
      </c>
      <c r="G92" s="13">
        <f>G90/$B$112</f>
        <v>8.9794413547459859E-2</v>
      </c>
    </row>
    <row r="93" spans="1:11">
      <c r="B93" s="5" t="s">
        <v>22</v>
      </c>
      <c r="E93" s="8">
        <f>IFERROR((E92-'V34'!E92)/'V34'!E92,"")</f>
        <v>-7.4101388675135688E-2</v>
      </c>
      <c r="F93" s="8">
        <f>IFERROR((F92-'V34'!F92)/'V34'!F92,"")</f>
        <v>-7.4131510308242263E-2</v>
      </c>
      <c r="G93" s="8">
        <f>IFERROR((G92-'V34'!G92)/'V34'!G92,"")</f>
        <v>-7.428167670067852E-2</v>
      </c>
    </row>
    <row r="94" spans="1:11">
      <c r="B94" s="5" t="s">
        <v>23</v>
      </c>
      <c r="E94" s="18">
        <f>(E92 / AVERAGE('V25'!E92,'V26'!E92,'V27'!E92,'V28'!E92,'V29'!E92,'V30'!E92,'V31'!E92,'V32'!E92,'V33'!E92,'V34'!E92)) * 100</f>
        <v>128.53346473681958</v>
      </c>
      <c r="F94" s="18">
        <f>(F92 / AVERAGE('V25'!F92,'V26'!F92,'V27'!F92,'V28'!F92,'V29'!F92,'V30'!F92,'V31'!F92,'V32'!F92,'V33'!F92,'V34'!F92)) * 100</f>
        <v>128.51762821460119</v>
      </c>
      <c r="G94" s="18">
        <f>(G92 / AVERAGE('V25'!G92,'V26'!G92,'V27'!G92,'V28'!G92,'V29'!G92,'V30'!G92,'V31'!G92,'V32'!G92,'V33'!G92,'V34'!G92)) * 100</f>
        <v>127.41534225134848</v>
      </c>
      <c r="H94" s="14">
        <f>IFERROR((G94*0.6)+(F94*0.4),"")</f>
        <v>127.85625663664956</v>
      </c>
    </row>
    <row r="95" spans="1:11">
      <c r="A95" s="1">
        <v>10</v>
      </c>
      <c r="C95" s="2" t="s">
        <v>80</v>
      </c>
      <c r="D95" s="2" t="s">
        <v>5</v>
      </c>
      <c r="E95" s="2" t="s">
        <v>6</v>
      </c>
      <c r="F95" s="2" t="s">
        <v>7</v>
      </c>
      <c r="G95" s="2" t="s">
        <v>8</v>
      </c>
      <c r="H95" s="2" t="s">
        <v>9</v>
      </c>
      <c r="I95" s="2" t="s">
        <v>10</v>
      </c>
      <c r="J95" s="2" t="s">
        <v>11</v>
      </c>
      <c r="K95" s="2" t="s">
        <v>12</v>
      </c>
    </row>
    <row r="96" spans="1:11">
      <c r="B96" s="6" t="s">
        <v>81</v>
      </c>
      <c r="C96" s="2" t="s">
        <v>82</v>
      </c>
      <c r="D96" s="5" t="s">
        <v>83</v>
      </c>
      <c r="E96" s="7">
        <v>253</v>
      </c>
      <c r="F96" s="7">
        <v>9100.7999999999993</v>
      </c>
      <c r="G96" s="7">
        <v>1485.88</v>
      </c>
      <c r="H96" s="8">
        <f>IFERROR(G96/F96,"")</f>
        <v>0.16326916315049228</v>
      </c>
      <c r="I96" s="18">
        <f>IFERROR(((E96/$B$112) / AVERAGE('V25'!E96/'V25'!$B$112, 'V26'!E96/'V26'!$B$112, 'V27'!E96/'V27'!$B$112, 'V28'!E96/'V28'!$B$112, 'V29'!E96/'V29'!$B$112, 'V30'!E96/'V30'!$B$112, 'V31'!E96/'V31'!$B$112, 'V32'!E96/'V32'!$B$112, 'V33'!E96/'V33'!$B$112, 'V34'!E96/'V34'!$B$112)) * 100,"")</f>
        <v>113.2999703504377</v>
      </c>
      <c r="J96" s="18">
        <f>IFERROR(((F96/$B$112) / AVERAGE('V25'!F96/'V25'!$B$112, 'V26'!F96/'V26'!$B$112, 'V27'!F96/'V27'!$B$112, 'V28'!F96/'V28'!$B$112, 'V29'!F96/'V29'!$B$112, 'V30'!F96/'V30'!$B$112, 'V31'!F96/'V31'!$B$112, 'V32'!F96/'V32'!$B$112, 'V33'!F96/'V33'!$B$112, 'V34'!F96/'V34'!$B$112)) * 100,"")</f>
        <v>113.22297752983843</v>
      </c>
      <c r="K96" s="18">
        <f>IFERROR(((G96/$B$112) / AVERAGE('V25'!G96/'V25'!$B$112, 'V26'!G96/'V26'!$B$112, 'V27'!G96/'V27'!$B$112, 'V28'!G96/'V28'!$B$112, 'V29'!G96/'V29'!$B$112, 'V30'!G96/'V30'!$B$112, 'V31'!G96/'V31'!$B$112, 'V32'!G96/'V32'!$B$112, 'V33'!G96/'V33'!$B$112, 'V34'!G96/'V34'!$B$112)) * 100,"")</f>
        <v>109.73448754614175</v>
      </c>
    </row>
    <row r="97" spans="2:8">
      <c r="C97" s="2" t="s">
        <v>84</v>
      </c>
    </row>
    <row r="98" spans="2:8">
      <c r="C98" s="2" t="s">
        <v>85</v>
      </c>
    </row>
    <row r="99" spans="2:8">
      <c r="C99" s="2" t="s">
        <v>86</v>
      </c>
    </row>
    <row r="100" spans="2:8">
      <c r="C100" s="9" t="s">
        <v>19</v>
      </c>
      <c r="D100" s="10"/>
      <c r="E100" s="11">
        <f>SUM(E96:E99)</f>
        <v>253</v>
      </c>
      <c r="F100" s="11">
        <f>SUM(F96:F99)</f>
        <v>9100.7999999999993</v>
      </c>
      <c r="G100" s="11">
        <f>SUM(G96:G99)</f>
        <v>1485.88</v>
      </c>
      <c r="H100" s="12">
        <f>IFERROR(G100/F100,"")</f>
        <v>0.16326916315049228</v>
      </c>
    </row>
    <row r="101" spans="2:8">
      <c r="B101" s="5" t="s">
        <v>20</v>
      </c>
      <c r="E101" s="16">
        <f>IFERROR((E100-('V34'!E100))/('V34'!E100),"")</f>
        <v>2.8455284552845527E-2</v>
      </c>
      <c r="F101" s="16">
        <f>IFERROR((F100-('V34'!F100))/('V34'!F100),"")</f>
        <v>2.7851189266110833E-2</v>
      </c>
      <c r="G101" s="16">
        <f>IFERROR((G100-('V34'!G100))/('V34'!G100),"")</f>
        <v>4.5702850343448936E-3</v>
      </c>
      <c r="H101" s="16">
        <f>IFERROR(H100-('V34'!H100),"")</f>
        <v>-3.7837608855583738E-3</v>
      </c>
    </row>
    <row r="102" spans="2:8">
      <c r="B102" s="5" t="s">
        <v>21</v>
      </c>
      <c r="E102" s="13">
        <f>E100/$B$112</f>
        <v>1.5809535712053988E-2</v>
      </c>
      <c r="F102" s="13">
        <f>F100/$B$112</f>
        <v>0.56869336999312625</v>
      </c>
      <c r="G102" s="13">
        <f>G100/$B$112</f>
        <v>9.2850090608010999E-2</v>
      </c>
    </row>
    <row r="103" spans="2:8">
      <c r="B103" s="5" t="s">
        <v>22</v>
      </c>
      <c r="E103" s="8">
        <f>IFERROR((E102-'V34'!E102)/'V34'!E102,"")</f>
        <v>0.12755408157718384</v>
      </c>
      <c r="F103" s="8">
        <f>IFERROR((F102-'V34'!F102)/'V34'!F102,"")</f>
        <v>0.12689177752133438</v>
      </c>
      <c r="G103" s="8">
        <f>IFERROR((G102-'V34'!G102)/'V34'!G102,"")</f>
        <v>0.10136759675858158</v>
      </c>
    </row>
    <row r="104" spans="2:8">
      <c r="B104" s="5" t="s">
        <v>23</v>
      </c>
      <c r="E104" s="18">
        <f>(E102 / AVERAGE('V25'!E102,'V26'!E102,'V27'!E102,'V28'!E102,'V29'!E102,'V30'!E102,'V31'!E102,'V32'!E102,'V33'!E102,'V34'!E102)) * 100</f>
        <v>113.2999703504377</v>
      </c>
      <c r="F104" s="18">
        <f>(F102 / AVERAGE('V25'!F102,'V26'!F102,'V27'!F102,'V28'!F102,'V29'!F102,'V30'!F102,'V31'!F102,'V32'!F102,'V33'!F102,'V34'!F102)) * 100</f>
        <v>113.22297752983843</v>
      </c>
      <c r="G104" s="18">
        <f>(G102 / AVERAGE('V25'!G102,'V26'!G102,'V27'!G102,'V28'!G102,'V29'!G102,'V30'!G102,'V31'!G102,'V32'!G102,'V33'!G102,'V34'!G102)) * 100</f>
        <v>109.73448754614175</v>
      </c>
      <c r="H104" s="14">
        <f>IFERROR((G104*0.6)+(F104*0.4),"")</f>
        <v>111.12988353962042</v>
      </c>
    </row>
    <row r="106" spans="2:8">
      <c r="B106" s="2" t="s">
        <v>87</v>
      </c>
      <c r="E106" s="15">
        <f>E10+E20+E30+E40+E50+E60+E70+E80+E90+E100</f>
        <v>2377</v>
      </c>
      <c r="F106" s="15">
        <f>F10+F20+F30+F40+F50+F60+F70+F80+F90+F100</f>
        <v>77230.680000000008</v>
      </c>
      <c r="G106" s="15">
        <f>G10+G20+G30+G40+G50+G60+G70+G80+G90+G100</f>
        <v>14163.23</v>
      </c>
      <c r="H106" s="16">
        <f>IFERROR(G106/F106,"")</f>
        <v>0.18338864813827871</v>
      </c>
    </row>
    <row r="107" spans="2:8">
      <c r="B107" s="5" t="s">
        <v>88</v>
      </c>
      <c r="E107" s="16">
        <f>IFERROR((E106-'V34'!E106)/'V34'!E106,"")</f>
        <v>-0.17465277777777777</v>
      </c>
      <c r="F107" s="16">
        <f>IFERROR((F106-'V34'!F106)/'V34'!F106,"")</f>
        <v>-0.16905186026164026</v>
      </c>
      <c r="G107" s="16">
        <f>IFERROR((G106-'V34'!G106)/'V34'!G106,"")</f>
        <v>-0.18165723995953148</v>
      </c>
      <c r="H107" s="16">
        <f>IFERROR(H106-'V34'!H106,"")</f>
        <v>-2.8248353317766872E-3</v>
      </c>
    </row>
    <row r="108" spans="2:8">
      <c r="B108" s="5" t="s">
        <v>21</v>
      </c>
      <c r="E108" s="13">
        <f>E106/$B$112</f>
        <v>0.14853464975317129</v>
      </c>
      <c r="F108" s="13">
        <f>F106/$B$112</f>
        <v>4.8260126226332565</v>
      </c>
      <c r="G108" s="13">
        <f>G106/$B$112</f>
        <v>0.88503593076298193</v>
      </c>
    </row>
    <row r="109" spans="2:8">
      <c r="B109" s="5" t="s">
        <v>22</v>
      </c>
      <c r="E109" s="8">
        <f>IFERROR((E108-'V34'!E108)/'V34'!E108,"")</f>
        <v>-9.5124850722433971E-2</v>
      </c>
      <c r="F109" s="8">
        <f>IFERROR((F108-'V34'!F108)/'V34'!F108,"")</f>
        <v>-8.8984245972035261E-2</v>
      </c>
      <c r="G109" s="8">
        <f>IFERROR((G108-'V34'!G108)/'V34'!G108,"")</f>
        <v>-0.10280424139786161</v>
      </c>
    </row>
    <row r="110" spans="2:8">
      <c r="B110" s="5" t="s">
        <v>23</v>
      </c>
      <c r="E110" s="18">
        <f>IFERROR((E108 / AVERAGE('V25'!E108,'V26'!E108,'V27'!E108,'V28'!E108,'V29'!E108,'V30'!E108,'V31'!E108,'V32'!E108,'V33'!E108,'V34'!E108)) * 100,"")</f>
        <v>111.50399358855987</v>
      </c>
      <c r="F110" s="18">
        <f>IFERROR((F108 / AVERAGE('V25'!F108,'V26'!F108,'V27'!F108,'V28'!F108,'V29'!F108,'V30'!F108,'V31'!F108,'V32'!F108,'V33'!F108,'V34'!F108)) * 100,"")</f>
        <v>106.55577718183638</v>
      </c>
      <c r="G110" s="18">
        <f>IFERROR((G108 / AVERAGE('V25'!G108,'V26'!G108,'V27'!G108,'V28'!G108,'V29'!G108,'V30'!G108,'V31'!G108,'V32'!G108,'V33'!G108,'V34'!G108)) * 100,"")</f>
        <v>108.03493918341623</v>
      </c>
      <c r="H110" s="14">
        <f>IFERROR((G110*0.6)+(F110*0.4),"")</f>
        <v>107.4432743827843</v>
      </c>
    </row>
    <row r="111" spans="2:8">
      <c r="B111" s="5" t="s">
        <v>89</v>
      </c>
      <c r="C111" s="5" t="s">
        <v>90</v>
      </c>
      <c r="D111" s="5" t="s">
        <v>91</v>
      </c>
    </row>
    <row r="112" spans="2:8">
      <c r="B112" s="17">
        <v>16003</v>
      </c>
      <c r="C112" s="17">
        <f>B112-'V34'!$B$112</f>
        <v>-1542</v>
      </c>
      <c r="D112" s="19">
        <f>C112/'V34'!$B$112</f>
        <v>-8.788828726132801E-2</v>
      </c>
    </row>
  </sheetData>
  <conditionalFormatting sqref="E11:G11">
    <cfRule type="cellIs" dxfId="175" priority="1" operator="lessThan">
      <formula>0</formula>
    </cfRule>
    <cfRule type="cellIs" dxfId="174" priority="2" operator="greaterThan">
      <formula>0</formula>
    </cfRule>
  </conditionalFormatting>
  <conditionalFormatting sqref="E21:G21">
    <cfRule type="cellIs" dxfId="173" priority="3" operator="lessThan">
      <formula>0</formula>
    </cfRule>
    <cfRule type="cellIs" dxfId="172" priority="4" operator="greaterThan">
      <formula>0</formula>
    </cfRule>
  </conditionalFormatting>
  <conditionalFormatting sqref="E31:G31">
    <cfRule type="cellIs" dxfId="171" priority="5" operator="lessThan">
      <formula>0</formula>
    </cfRule>
    <cfRule type="cellIs" dxfId="170" priority="6" operator="greaterThan">
      <formula>0</formula>
    </cfRule>
  </conditionalFormatting>
  <conditionalFormatting sqref="E41:G41">
    <cfRule type="cellIs" dxfId="169" priority="7" operator="lessThan">
      <formula>0</formula>
    </cfRule>
    <cfRule type="cellIs" dxfId="168" priority="8" operator="greaterThan">
      <formula>0</formula>
    </cfRule>
  </conditionalFormatting>
  <conditionalFormatting sqref="E51:G51">
    <cfRule type="cellIs" dxfId="167" priority="9" operator="lessThan">
      <formula>0</formula>
    </cfRule>
    <cfRule type="cellIs" dxfId="166" priority="10" operator="greaterThan">
      <formula>0</formula>
    </cfRule>
  </conditionalFormatting>
  <conditionalFormatting sqref="E61:G61">
    <cfRule type="cellIs" dxfId="165" priority="11" operator="lessThan">
      <formula>0</formula>
    </cfRule>
    <cfRule type="cellIs" dxfId="164" priority="12" operator="greaterThan">
      <formula>0</formula>
    </cfRule>
  </conditionalFormatting>
  <conditionalFormatting sqref="E71:G71">
    <cfRule type="cellIs" dxfId="163" priority="13" operator="lessThan">
      <formula>0</formula>
    </cfRule>
    <cfRule type="cellIs" dxfId="162" priority="14" operator="greaterThan">
      <formula>0</formula>
    </cfRule>
  </conditionalFormatting>
  <conditionalFormatting sqref="E81:G81">
    <cfRule type="cellIs" dxfId="161" priority="15" operator="lessThan">
      <formula>0</formula>
    </cfRule>
    <cfRule type="cellIs" dxfId="160" priority="16" operator="greaterThan">
      <formula>0</formula>
    </cfRule>
  </conditionalFormatting>
  <conditionalFormatting sqref="E91:G91">
    <cfRule type="cellIs" dxfId="159" priority="17" operator="lessThan">
      <formula>0</formula>
    </cfRule>
    <cfRule type="cellIs" dxfId="158" priority="18" operator="greaterThan">
      <formula>0</formula>
    </cfRule>
  </conditionalFormatting>
  <conditionalFormatting sqref="E101:G101">
    <cfRule type="cellIs" dxfId="157" priority="19" operator="lessThan">
      <formula>0</formula>
    </cfRule>
    <cfRule type="cellIs" dxfId="156" priority="20" operator="greaterThan">
      <formula>0</formula>
    </cfRule>
  </conditionalFormatting>
  <conditionalFormatting sqref="E107:G107">
    <cfRule type="cellIs" dxfId="155" priority="21" operator="lessThan">
      <formula>0</formula>
    </cfRule>
    <cfRule type="cellIs" dxfId="154" priority="22" operator="greaterThan">
      <formula>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12"/>
  <sheetViews>
    <sheetView zoomScaleNormal="100" zoomScaleSheetLayoutView="100" workbookViewId="0"/>
  </sheetViews>
  <sheetFormatPr defaultRowHeight="15"/>
  <cols>
    <col min="2" max="2" width="16" customWidth="1"/>
    <col min="4" max="4" width="26" customWidth="1"/>
    <col min="5" max="5" width="10" customWidth="1"/>
    <col min="6" max="7" width="12" customWidth="1"/>
    <col min="8" max="8" width="10" customWidth="1"/>
    <col min="9" max="11" width="12" customWidth="1"/>
  </cols>
  <sheetData>
    <row r="1" spans="1:11">
      <c r="A1" s="1" t="s">
        <v>0</v>
      </c>
    </row>
    <row r="3" spans="1:11">
      <c r="C3" s="2" t="s">
        <v>120</v>
      </c>
    </row>
    <row r="4" spans="1:11">
      <c r="C4" s="3" t="s">
        <v>121</v>
      </c>
      <c r="I4" s="4">
        <v>36</v>
      </c>
      <c r="J4" s="5" t="s">
        <v>3</v>
      </c>
    </row>
    <row r="5" spans="1:11">
      <c r="A5" s="1">
        <v>1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</row>
    <row r="6" spans="1:11">
      <c r="B6" s="6" t="s">
        <v>104</v>
      </c>
      <c r="C6" s="2" t="s">
        <v>14</v>
      </c>
      <c r="D6" s="5" t="s">
        <v>105</v>
      </c>
      <c r="E6" s="7">
        <v>155</v>
      </c>
      <c r="F6" s="7">
        <v>12272.04</v>
      </c>
      <c r="G6" s="7">
        <v>2679.09</v>
      </c>
      <c r="H6" s="8">
        <f>IFERROR(G6/F6,"")</f>
        <v>0.21830844749528194</v>
      </c>
      <c r="I6" s="18">
        <f>IFERROR(((E6/$B$112) / AVERAGE('V25'!E6/'V25'!$B$112, 'V26'!E6/'V26'!$B$112, 'V27'!E6/'V27'!$B$112, 'V28'!E6/'V28'!$B$112, 'V29'!E6/'V29'!$B$112, 'V30'!E6/'V30'!$B$112, 'V31'!E6/'V31'!$B$112, 'V32'!E6/'V32'!$B$112, 'V33'!E6/'V33'!$B$112, 'V34'!E6/'V34'!$B$112, 'V35'!E6/'V35'!$B$112)) * 100,"")</f>
        <v>139.738273498089</v>
      </c>
      <c r="J6" s="18">
        <f>IFERROR(((F6/$B$112) / AVERAGE('V25'!F6/'V25'!$B$112, 'V26'!F6/'V26'!$B$112, 'V27'!F6/'V27'!$B$112, 'V28'!F6/'V28'!$B$112, 'V29'!F6/'V29'!$B$112, 'V30'!F6/'V30'!$B$112, 'V31'!F6/'V31'!$B$112, 'V32'!F6/'V32'!$B$112, 'V33'!F6/'V33'!$B$112, 'V34'!F6/'V34'!$B$112, 'V35'!F6/'V35'!$B$112)) * 100,"")</f>
        <v>151.62474535267637</v>
      </c>
      <c r="K6" s="18">
        <f>IFERROR(((G6/$B$112) / AVERAGE('V25'!G6/'V25'!$B$112, 'V26'!G6/'V26'!$B$112, 'V27'!G6/'V27'!$B$112, 'V28'!G6/'V28'!$B$112, 'V29'!G6/'V29'!$B$112, 'V30'!G6/'V30'!$B$112, 'V31'!G6/'V31'!$B$112, 'V32'!G6/'V32'!$B$112, 'V33'!G6/'V33'!$B$112, 'V34'!G6/'V34'!$B$112, 'V35'!G6/'V35'!$B$112)) * 100,"")</f>
        <v>151.00408375917624</v>
      </c>
    </row>
    <row r="7" spans="1:11">
      <c r="C7" s="2" t="s">
        <v>16</v>
      </c>
    </row>
    <row r="8" spans="1:11">
      <c r="C8" s="2" t="s">
        <v>17</v>
      </c>
    </row>
    <row r="9" spans="1:11">
      <c r="C9" s="2" t="s">
        <v>18</v>
      </c>
    </row>
    <row r="10" spans="1:11">
      <c r="C10" s="9" t="s">
        <v>19</v>
      </c>
      <c r="D10" s="10"/>
      <c r="E10" s="11">
        <f>SUM(E6:E9)</f>
        <v>155</v>
      </c>
      <c r="F10" s="11">
        <f>SUM(F6:F9)</f>
        <v>12272.04</v>
      </c>
      <c r="G10" s="11">
        <f>SUM(G6:G9)</f>
        <v>2679.09</v>
      </c>
      <c r="H10" s="12">
        <f>IFERROR(G10/F10,"")</f>
        <v>0.21830844749528194</v>
      </c>
    </row>
    <row r="11" spans="1:11">
      <c r="B11" s="5" t="s">
        <v>20</v>
      </c>
      <c r="E11" s="16">
        <f>IFERROR((E10-('V35'!E10))/('V35'!E10),"")</f>
        <v>0.44859813084112149</v>
      </c>
      <c r="F11" s="16">
        <f>IFERROR((F10-('V35'!F10))/('V35'!F10),"")</f>
        <v>0.44813084112149548</v>
      </c>
      <c r="G11" s="16">
        <f>IFERROR((G10-('V35'!G10))/('V35'!G10),"")</f>
        <v>0.43424074520195943</v>
      </c>
      <c r="H11" s="16">
        <f>IFERROR(H10-('V35'!H10),"")</f>
        <v>-2.1142372965617384E-3</v>
      </c>
    </row>
    <row r="12" spans="1:11">
      <c r="B12" s="5" t="s">
        <v>21</v>
      </c>
      <c r="E12" s="13">
        <f>E10/$B$112</f>
        <v>1.0167267956707117E-2</v>
      </c>
      <c r="F12" s="13">
        <f>F10/$B$112</f>
        <v>0.8049878648737292</v>
      </c>
      <c r="G12" s="13">
        <f>G10/$B$112</f>
        <v>0.17573565103312563</v>
      </c>
    </row>
    <row r="13" spans="1:11">
      <c r="B13" s="5" t="s">
        <v>22</v>
      </c>
      <c r="E13" s="8">
        <f>IFERROR((E12-'V35'!E12)/'V35'!E12,"")</f>
        <v>0.52062419730078513</v>
      </c>
      <c r="F13" s="8">
        <f>IFERROR((F12-'V35'!F12)/'V35'!F12,"")</f>
        <v>0.52013367336617211</v>
      </c>
      <c r="G13" s="8">
        <f>IFERROR((G12-'V35'!G12)/'V35'!G12,"")</f>
        <v>0.50555294493059755</v>
      </c>
    </row>
    <row r="14" spans="1:11">
      <c r="B14" s="5" t="s">
        <v>23</v>
      </c>
      <c r="E14" s="18">
        <f>(E12 / AVERAGE('V25'!E12,'V26'!E12,'V27'!E12,'V28'!E12,'V29'!E12,'V30'!E12,'V31'!E12,'V32'!E12,'V33'!E12,'V34'!E12,'V35'!E12)) * 100</f>
        <v>139.738273498089</v>
      </c>
      <c r="F14" s="18">
        <f>(F12 / AVERAGE('V25'!F12,'V26'!F12,'V27'!F12,'V28'!F12,'V29'!F12,'V30'!F12,'V31'!F12,'V32'!F12,'V33'!F12,'V34'!F12,'V35'!F12)) * 100</f>
        <v>151.62474535267637</v>
      </c>
      <c r="G14" s="18">
        <f>(G12 / AVERAGE('V25'!G12,'V26'!G12,'V27'!G12,'V28'!G12,'V29'!G12,'V30'!G12,'V31'!G12,'V32'!G12,'V33'!G12,'V34'!G12,'V35'!G12)) * 100</f>
        <v>151.00408375917624</v>
      </c>
      <c r="H14" s="14">
        <f>IFERROR((G14*0.6)+(F14*0.4),"")</f>
        <v>151.25234839657628</v>
      </c>
    </row>
    <row r="15" spans="1:11">
      <c r="A15" s="1">
        <v>2</v>
      </c>
      <c r="C15" s="2" t="s">
        <v>24</v>
      </c>
      <c r="D15" s="2" t="s">
        <v>5</v>
      </c>
      <c r="E15" s="2" t="s">
        <v>6</v>
      </c>
      <c r="F15" s="2" t="s">
        <v>7</v>
      </c>
      <c r="G15" s="2" t="s">
        <v>8</v>
      </c>
      <c r="H15" s="2" t="s">
        <v>9</v>
      </c>
      <c r="I15" s="2" t="s">
        <v>10</v>
      </c>
      <c r="J15" s="2" t="s">
        <v>11</v>
      </c>
      <c r="K15" s="2" t="s">
        <v>12</v>
      </c>
    </row>
    <row r="16" spans="1:11">
      <c r="B16" s="6" t="s">
        <v>25</v>
      </c>
      <c r="C16" s="2" t="s">
        <v>26</v>
      </c>
      <c r="D16" s="5" t="s">
        <v>27</v>
      </c>
      <c r="E16" s="7">
        <v>202</v>
      </c>
      <c r="F16" s="7">
        <v>3223.92</v>
      </c>
      <c r="G16" s="7">
        <v>406.02</v>
      </c>
      <c r="H16" s="8">
        <f>IFERROR(G16/F16,"")</f>
        <v>0.12593984962406013</v>
      </c>
      <c r="I16" s="18">
        <f>IFERROR(((E16/$B$112) / AVERAGE('V25'!E16/'V25'!$B$112, 'V26'!E16/'V26'!$B$112, 'V27'!E16/'V27'!$B$112, 'V28'!E16/'V28'!$B$112, 'V29'!E16/'V29'!$B$112, 'V30'!E16/'V30'!$B$112, 'V31'!E16/'V31'!$B$112, 'V32'!E16/'V32'!$B$112, 'V33'!E16/'V33'!$B$112, 'V34'!E16/'V34'!$B$112, 'V35'!E16/'V35'!$B$112)) * 100,"")</f>
        <v>128.69572164714646</v>
      </c>
      <c r="J16" s="18">
        <f>IFERROR(((F16/$B$112) / AVERAGE('V25'!F16/'V25'!$B$112, 'V26'!F16/'V26'!$B$112, 'V27'!F16/'V27'!$B$112, 'V28'!F16/'V28'!$B$112, 'V29'!F16/'V29'!$B$112, 'V30'!F16/'V30'!$B$112, 'V31'!F16/'V31'!$B$112, 'V32'!F16/'V32'!$B$112, 'V33'!F16/'V33'!$B$112, 'V34'!F16/'V34'!$B$112, 'V35'!F16/'V35'!$B$112)) * 100,"")</f>
        <v>110.58216622886508</v>
      </c>
      <c r="K16" s="18">
        <f>IFERROR(((G16/$B$112) / AVERAGE('V25'!G16/'V25'!$B$112, 'V26'!G16/'V26'!$B$112, 'V27'!G16/'V27'!$B$112, 'V28'!G16/'V28'!$B$112, 'V29'!G16/'V29'!$B$112, 'V30'!G16/'V30'!$B$112, 'V31'!G16/'V31'!$B$112, 'V32'!G16/'V32'!$B$112, 'V33'!G16/'V33'!$B$112, 'V34'!G16/'V34'!$B$112, 'V35'!G16/'V35'!$B$112)) * 100,"")</f>
        <v>77.890845564368945</v>
      </c>
    </row>
    <row r="17" spans="1:11">
      <c r="C17" s="2" t="s">
        <v>28</v>
      </c>
    </row>
    <row r="18" spans="1:11">
      <c r="C18" s="2" t="s">
        <v>29</v>
      </c>
    </row>
    <row r="19" spans="1:11">
      <c r="C19" s="2" t="s">
        <v>30</v>
      </c>
    </row>
    <row r="20" spans="1:11">
      <c r="C20" s="9" t="s">
        <v>19</v>
      </c>
      <c r="D20" s="10"/>
      <c r="E20" s="11">
        <f>SUM(E16:E19)</f>
        <v>202</v>
      </c>
      <c r="F20" s="11">
        <f>SUM(F16:F19)</f>
        <v>3223.92</v>
      </c>
      <c r="G20" s="11">
        <f>SUM(G16:G19)</f>
        <v>406.02</v>
      </c>
      <c r="H20" s="12">
        <f>IFERROR(G20/F20,"")</f>
        <v>0.12593984962406013</v>
      </c>
    </row>
    <row r="21" spans="1:11">
      <c r="B21" s="5" t="s">
        <v>20</v>
      </c>
      <c r="E21" s="16">
        <f>IFERROR((E20-('V35'!E20))/('V35'!E20),"")</f>
        <v>-0.1984126984126984</v>
      </c>
      <c r="F21" s="16">
        <f>IFERROR((F20-('V35'!F20))/('V35'!F20),"")</f>
        <v>-0.19809368408484898</v>
      </c>
      <c r="G21" s="16">
        <f>IFERROR((G20-('V35'!G20))/('V35'!G20),"")</f>
        <v>-0.19587261348332416</v>
      </c>
      <c r="H21" s="16">
        <f>IFERROR(H20-('V35'!H20),"")</f>
        <v>3.4785694686029212E-4</v>
      </c>
    </row>
    <row r="22" spans="1:11">
      <c r="B22" s="5" t="s">
        <v>21</v>
      </c>
      <c r="E22" s="13">
        <f>E20/$B$112</f>
        <v>1.3250245982289275E-2</v>
      </c>
      <c r="F22" s="13">
        <f>F20/$B$112</f>
        <v>0.21147392587733685</v>
      </c>
      <c r="G22" s="13">
        <f>G20/$B$112</f>
        <v>2.6632994424401441E-2</v>
      </c>
    </row>
    <row r="23" spans="1:11">
      <c r="B23" s="5" t="s">
        <v>22</v>
      </c>
      <c r="E23" s="8">
        <f>IFERROR((E22-'V35'!E22)/'V35'!E22,"")</f>
        <v>-0.15855679978343146</v>
      </c>
      <c r="F23" s="8">
        <f>IFERROR((F22-'V35'!F22)/'V35'!F22,"")</f>
        <v>-0.15822192367398075</v>
      </c>
      <c r="G23" s="8">
        <f>IFERROR((G22-'V35'!G22)/'V35'!G22,"")</f>
        <v>-0.15589041873228177</v>
      </c>
    </row>
    <row r="24" spans="1:11">
      <c r="B24" s="5" t="s">
        <v>23</v>
      </c>
      <c r="E24" s="18">
        <f>(E22 / AVERAGE('V25'!E22,'V26'!E22,'V27'!E22,'V28'!E22,'V29'!E22,'V30'!E22,'V31'!E22,'V32'!E22,'V33'!E22,'V34'!E22,'V35'!E22)) * 100</f>
        <v>128.69572164714646</v>
      </c>
      <c r="F24" s="18">
        <f>(F22 / AVERAGE('V25'!F22,'V26'!F22,'V27'!F22,'V28'!F22,'V29'!F22,'V30'!F22,'V31'!F22,'V32'!F22,'V33'!F22,'V34'!F22,'V35'!F22)) * 100</f>
        <v>110.58216622886508</v>
      </c>
      <c r="G24" s="18">
        <f>(G22 / AVERAGE('V25'!G22,'V26'!G22,'V27'!G22,'V28'!G22,'V29'!G22,'V30'!G22,'V31'!G22,'V32'!G22,'V33'!G22,'V34'!G22,'V35'!G22)) * 100</f>
        <v>77.890845564368945</v>
      </c>
      <c r="H24" s="14">
        <f>IFERROR((G24*0.6)+(F24*0.4),"")</f>
        <v>90.967373830167389</v>
      </c>
    </row>
    <row r="25" spans="1:11">
      <c r="A25" s="1">
        <v>3</v>
      </c>
      <c r="C25" s="2" t="s">
        <v>31</v>
      </c>
      <c r="D25" s="2" t="s">
        <v>5</v>
      </c>
      <c r="E25" s="2" t="s">
        <v>6</v>
      </c>
      <c r="F25" s="2" t="s">
        <v>7</v>
      </c>
      <c r="G25" s="2" t="s">
        <v>8</v>
      </c>
      <c r="H25" s="2" t="s">
        <v>9</v>
      </c>
      <c r="I25" s="2" t="s">
        <v>10</v>
      </c>
      <c r="J25" s="2" t="s">
        <v>11</v>
      </c>
      <c r="K25" s="2" t="s">
        <v>12</v>
      </c>
    </row>
    <row r="26" spans="1:11">
      <c r="B26" s="6" t="s">
        <v>32</v>
      </c>
      <c r="C26" s="2" t="s">
        <v>33</v>
      </c>
      <c r="D26" s="5" t="s">
        <v>34</v>
      </c>
      <c r="E26" s="7">
        <v>511</v>
      </c>
      <c r="F26" s="7">
        <v>12074.72</v>
      </c>
      <c r="G26" s="7">
        <v>2641.1</v>
      </c>
      <c r="H26" s="8">
        <f>IFERROR(G26/F26,"")</f>
        <v>0.21872970967442723</v>
      </c>
      <c r="I26" s="18">
        <f>IFERROR(((E26/$B$112) / AVERAGE('V25'!E26/'V25'!$B$112, 'V26'!E26/'V26'!$B$112, 'V27'!E26/'V27'!$B$112, 'V28'!E26/'V28'!$B$112, 'V29'!E26/'V29'!$B$112, 'V30'!E26/'V30'!$B$112, 'V31'!E26/'V31'!$B$112, 'V32'!E26/'V32'!$B$112, 'V33'!E26/'V33'!$B$112, 'V34'!E26/'V34'!$B$112, 'V35'!E26/'V35'!$B$112)) * 100,"")</f>
        <v>109.32016677816139</v>
      </c>
      <c r="J26" s="18">
        <f>IFERROR(((F26/$B$112) / AVERAGE('V25'!F26/'V25'!$B$112, 'V26'!F26/'V26'!$B$112, 'V27'!F26/'V27'!$B$112, 'V28'!F26/'V28'!$B$112, 'V29'!F26/'V29'!$B$112, 'V30'!F26/'V30'!$B$112, 'V31'!F26/'V31'!$B$112, 'V32'!F26/'V32'!$B$112, 'V33'!F26/'V33'!$B$112, 'V34'!F26/'V34'!$B$112, 'V35'!F26/'V35'!$B$112)) * 100,"")</f>
        <v>109.33321178981379</v>
      </c>
      <c r="K26" s="18">
        <f>IFERROR(((G26/$B$112) / AVERAGE('V25'!G26/'V25'!$B$112, 'V26'!G26/'V26'!$B$112, 'V27'!G26/'V27'!$B$112, 'V28'!G26/'V28'!$B$112, 'V29'!G26/'V29'!$B$112, 'V30'!G26/'V30'!$B$112, 'V31'!G26/'V31'!$B$112, 'V32'!G26/'V32'!$B$112, 'V33'!G26/'V33'!$B$112, 'V34'!G26/'V34'!$B$112, 'V35'!G26/'V35'!$B$112)) * 100,"")</f>
        <v>108.59156408704436</v>
      </c>
    </row>
    <row r="27" spans="1:11">
      <c r="C27" s="2" t="s">
        <v>35</v>
      </c>
    </row>
    <row r="28" spans="1:11">
      <c r="C28" s="2" t="s">
        <v>36</v>
      </c>
    </row>
    <row r="29" spans="1:11">
      <c r="C29" s="2" t="s">
        <v>37</v>
      </c>
    </row>
    <row r="30" spans="1:11">
      <c r="C30" s="9" t="s">
        <v>19</v>
      </c>
      <c r="D30" s="10"/>
      <c r="E30" s="11">
        <f>SUM(E26:E29)</f>
        <v>511</v>
      </c>
      <c r="F30" s="11">
        <f>SUM(F26:F29)</f>
        <v>12074.72</v>
      </c>
      <c r="G30" s="11">
        <f>SUM(G26:G29)</f>
        <v>2641.1</v>
      </c>
      <c r="H30" s="12">
        <f>IFERROR(G30/F30,"")</f>
        <v>0.21872970967442723</v>
      </c>
    </row>
    <row r="31" spans="1:11">
      <c r="B31" s="5" t="s">
        <v>20</v>
      </c>
      <c r="E31" s="16">
        <f>IFERROR((E30-('V35'!E30))/('V35'!E30),"")</f>
        <v>0.30357142857142855</v>
      </c>
      <c r="F31" s="16">
        <f>IFERROR((F30-('V35'!F30))/('V35'!F30),"")</f>
        <v>0.30344744205326596</v>
      </c>
      <c r="G31" s="16">
        <f>IFERROR((G30-('V35'!G30))/('V35'!G30),"")</f>
        <v>0.30263871763255235</v>
      </c>
      <c r="H31" s="16">
        <f>IFERROR(H30-('V35'!H30),"")</f>
        <v>-1.3579517893558268E-4</v>
      </c>
    </row>
    <row r="32" spans="1:11">
      <c r="B32" s="5" t="s">
        <v>21</v>
      </c>
      <c r="E32" s="13">
        <f>E30/$B$112</f>
        <v>3.3519186618563464E-2</v>
      </c>
      <c r="F32" s="13">
        <f>F30/$B$112</f>
        <v>0.79204460478845518</v>
      </c>
      <c r="G32" s="13">
        <f>G30/$B$112</f>
        <v>0.17324368645457527</v>
      </c>
    </row>
    <row r="33" spans="1:11">
      <c r="B33" s="5" t="s">
        <v>22</v>
      </c>
      <c r="E33" s="8">
        <f>IFERROR((E32-'V35'!E32)/'V35'!E32,"")</f>
        <v>0.36838659045120181</v>
      </c>
      <c r="F33" s="8">
        <f>IFERROR((F32-'V35'!F32)/'V35'!F32,"")</f>
        <v>0.36825643917208367</v>
      </c>
      <c r="G33" s="8">
        <f>IFERROR((G32-'V35'!G32)/'V35'!G32,"")</f>
        <v>0.3674075039864701</v>
      </c>
    </row>
    <row r="34" spans="1:11">
      <c r="B34" s="5" t="s">
        <v>23</v>
      </c>
      <c r="E34" s="18">
        <f>(E32 / AVERAGE('V25'!E32,'V26'!E32,'V27'!E32,'V28'!E32,'V29'!E32,'V30'!E32,'V31'!E32,'V32'!E32,'V33'!E32,'V34'!E32,'V35'!E32)) * 100</f>
        <v>109.32016677816139</v>
      </c>
      <c r="F34" s="18">
        <f>(F32 / AVERAGE('V25'!F32,'V26'!F32,'V27'!F32,'V28'!F32,'V29'!F32,'V30'!F32,'V31'!F32,'V32'!F32,'V33'!F32,'V34'!F32,'V35'!F32)) * 100</f>
        <v>109.33321178981379</v>
      </c>
      <c r="G34" s="18">
        <f>(G32 / AVERAGE('V25'!G32,'V26'!G32,'V27'!G32,'V28'!G32,'V29'!G32,'V30'!G32,'V31'!G32,'V32'!G32,'V33'!G32,'V34'!G32,'V35'!G32)) * 100</f>
        <v>108.59156408704436</v>
      </c>
      <c r="H34" s="14">
        <f>IFERROR((G34*0.6)+(F34*0.4),"")</f>
        <v>108.88822316815214</v>
      </c>
    </row>
    <row r="35" spans="1:11">
      <c r="A35" s="1">
        <v>4</v>
      </c>
      <c r="C35" s="2" t="s">
        <v>38</v>
      </c>
      <c r="D35" s="2" t="s">
        <v>5</v>
      </c>
      <c r="E35" s="2" t="s">
        <v>6</v>
      </c>
      <c r="F35" s="2" t="s">
        <v>7</v>
      </c>
      <c r="G35" s="2" t="s">
        <v>8</v>
      </c>
      <c r="H35" s="2" t="s">
        <v>9</v>
      </c>
      <c r="I35" s="2" t="s">
        <v>10</v>
      </c>
      <c r="J35" s="2" t="s">
        <v>11</v>
      </c>
      <c r="K35" s="2" t="s">
        <v>12</v>
      </c>
    </row>
    <row r="36" spans="1:11">
      <c r="B36" s="6" t="s">
        <v>39</v>
      </c>
      <c r="C36" s="2" t="s">
        <v>40</v>
      </c>
      <c r="D36" s="5" t="s">
        <v>41</v>
      </c>
      <c r="E36" s="7">
        <v>406</v>
      </c>
      <c r="F36" s="7">
        <v>9588.52</v>
      </c>
      <c r="G36" s="7">
        <v>2146.54</v>
      </c>
      <c r="H36" s="8">
        <f>IFERROR(G36/F36,"")</f>
        <v>0.22386562264040746</v>
      </c>
      <c r="I36" s="18">
        <f>IFERROR(((E36/$B$112) / AVERAGE('V25'!E36/'V25'!$B$112, 'V26'!E36/'V26'!$B$112, 'V27'!E36/'V27'!$B$112, 'V28'!E36/'V28'!$B$112, 'V29'!E36/'V29'!$B$112, 'V30'!E36/'V30'!$B$112, 'V31'!E36/'V31'!$B$112, 'V32'!E36/'V32'!$B$112, 'V33'!E36/'V33'!$B$112, 'V34'!E36/'V34'!$B$112, 'V35'!E36/'V35'!$B$112)) * 100,"")</f>
        <v>95.962763341078301</v>
      </c>
      <c r="J36" s="18">
        <f>IFERROR(((F36/$B$112) / AVERAGE('V25'!F36/'V25'!$B$112, 'V26'!F36/'V26'!$B$112, 'V27'!F36/'V27'!$B$112, 'V28'!F36/'V28'!$B$112, 'V29'!F36/'V29'!$B$112, 'V30'!F36/'V30'!$B$112, 'V31'!F36/'V31'!$B$112, 'V32'!F36/'V32'!$B$112, 'V33'!F36/'V33'!$B$112, 'V34'!F36/'V34'!$B$112, 'V35'!F36/'V35'!$B$112)) * 100,"")</f>
        <v>95.941470130431469</v>
      </c>
      <c r="K36" s="18">
        <f>IFERROR(((G36/$B$112) / AVERAGE('V25'!G36/'V25'!$B$112, 'V26'!G36/'V26'!$B$112, 'V27'!G36/'V27'!$B$112, 'V28'!G36/'V28'!$B$112, 'V29'!G36/'V29'!$B$112, 'V30'!G36/'V30'!$B$112, 'V31'!G36/'V31'!$B$112, 'V32'!G36/'V32'!$B$112, 'V33'!G36/'V33'!$B$112, 'V34'!G36/'V34'!$B$112, 'V35'!G36/'V35'!$B$112)) * 100,"")</f>
        <v>96.375331715698181</v>
      </c>
    </row>
    <row r="37" spans="1:11">
      <c r="C37" s="2" t="s">
        <v>42</v>
      </c>
    </row>
    <row r="38" spans="1:11">
      <c r="C38" s="2" t="s">
        <v>43</v>
      </c>
    </row>
    <row r="39" spans="1:11">
      <c r="C39" s="2" t="s">
        <v>44</v>
      </c>
    </row>
    <row r="40" spans="1:11">
      <c r="C40" s="9" t="s">
        <v>19</v>
      </c>
      <c r="D40" s="10"/>
      <c r="E40" s="11">
        <f>SUM(E36:E39)</f>
        <v>406</v>
      </c>
      <c r="F40" s="11">
        <f>SUM(F36:F39)</f>
        <v>9588.52</v>
      </c>
      <c r="G40" s="11">
        <f>SUM(G36:G39)</f>
        <v>2146.54</v>
      </c>
      <c r="H40" s="12">
        <f>IFERROR(G40/F40,"")</f>
        <v>0.22386562264040746</v>
      </c>
    </row>
    <row r="41" spans="1:11">
      <c r="B41" s="5" t="s">
        <v>20</v>
      </c>
      <c r="E41" s="16">
        <f>IFERROR((E40-('V35'!E40))/('V35'!E40),"")</f>
        <v>-0.19762845849802371</v>
      </c>
      <c r="F41" s="16">
        <f>IFERROR((F40-('V35'!F40))/('V35'!F40),"")</f>
        <v>-0.19795165888194438</v>
      </c>
      <c r="G41" s="16">
        <f>IFERROR((G40-('V35'!G40))/('V35'!G40),"")</f>
        <v>-0.1768644353774888</v>
      </c>
      <c r="H41" s="16">
        <f>IFERROR(H40-('V35'!H40),"")</f>
        <v>5.735026674187349E-3</v>
      </c>
    </row>
    <row r="42" spans="1:11">
      <c r="B42" s="5" t="s">
        <v>21</v>
      </c>
      <c r="E42" s="13">
        <f>E40/$B$112</f>
        <v>2.6631682518858644E-2</v>
      </c>
      <c r="F42" s="13">
        <f>F40/$B$112</f>
        <v>0.62896162676287315</v>
      </c>
      <c r="G42" s="13">
        <f>G40/$B$112</f>
        <v>0.14080288619219417</v>
      </c>
    </row>
    <row r="43" spans="1:11">
      <c r="B43" s="5" t="s">
        <v>22</v>
      </c>
      <c r="E43" s="8">
        <f>IFERROR((E42-'V35'!E42)/'V35'!E42,"")</f>
        <v>-0.15773356650336973</v>
      </c>
      <c r="F43" s="8">
        <f>IFERROR((F42-'V35'!F42)/'V35'!F42,"")</f>
        <v>-0.15807283680470671</v>
      </c>
      <c r="G43" s="8">
        <f>IFERROR((G42-'V35'!G42)/'V35'!G42,"")</f>
        <v>-0.13593713081967543</v>
      </c>
    </row>
    <row r="44" spans="1:11">
      <c r="B44" s="5" t="s">
        <v>23</v>
      </c>
      <c r="E44" s="18">
        <f>(E42 / AVERAGE('V25'!E42,'V26'!E42,'V27'!E42,'V28'!E42,'V29'!E42,'V30'!E42,'V31'!E42,'V32'!E42,'V33'!E42,'V34'!E42,'V35'!E42)) * 100</f>
        <v>95.962763341078301</v>
      </c>
      <c r="F44" s="18">
        <f>(F42 / AVERAGE('V25'!F42,'V26'!F42,'V27'!F42,'V28'!F42,'V29'!F42,'V30'!F42,'V31'!F42,'V32'!F42,'V33'!F42,'V34'!F42,'V35'!F42)) * 100</f>
        <v>95.941470130431469</v>
      </c>
      <c r="G44" s="18">
        <f>(G42 / AVERAGE('V25'!G42,'V26'!G42,'V27'!G42,'V28'!G42,'V29'!G42,'V30'!G42,'V31'!G42,'V32'!G42,'V33'!G42,'V34'!G42,'V35'!G42)) * 100</f>
        <v>96.375331715698181</v>
      </c>
      <c r="H44" s="14">
        <f>IFERROR((G44*0.6)+(F44*0.4),"")</f>
        <v>96.201787081591505</v>
      </c>
    </row>
    <row r="45" spans="1:11">
      <c r="A45" s="1">
        <v>5</v>
      </c>
      <c r="C45" s="2" t="s">
        <v>45</v>
      </c>
      <c r="D45" s="2" t="s">
        <v>5</v>
      </c>
      <c r="E45" s="2" t="s">
        <v>6</v>
      </c>
      <c r="F45" s="2" t="s">
        <v>7</v>
      </c>
      <c r="G45" s="2" t="s">
        <v>8</v>
      </c>
      <c r="H45" s="2" t="s">
        <v>9</v>
      </c>
      <c r="I45" s="2" t="s">
        <v>10</v>
      </c>
      <c r="J45" s="2" t="s">
        <v>11</v>
      </c>
      <c r="K45" s="2" t="s">
        <v>12</v>
      </c>
    </row>
    <row r="46" spans="1:11">
      <c r="B46" s="6" t="s">
        <v>46</v>
      </c>
      <c r="C46" s="2" t="s">
        <v>47</v>
      </c>
      <c r="D46" s="5" t="s">
        <v>48</v>
      </c>
      <c r="E46" s="7">
        <v>181</v>
      </c>
      <c r="F46" s="7">
        <v>14327.28</v>
      </c>
      <c r="G46" s="7">
        <v>1657.28</v>
      </c>
      <c r="H46" s="8">
        <f>IFERROR(G46/F46,"")</f>
        <v>0.11567303772942246</v>
      </c>
      <c r="I46" s="18">
        <f>IFERROR(((E46/$B$112) / AVERAGE('V25'!E46/'V25'!$B$112, 'V26'!E46/'V26'!$B$112, 'V27'!E46/'V27'!$B$112, 'V28'!E46/'V28'!$B$112, 'V29'!E46/'V29'!$B$112, 'V30'!E46/'V30'!$B$112, 'V31'!E46/'V31'!$B$112, 'V32'!E46/'V32'!$B$112, 'V33'!E46/'V33'!$B$112, 'V34'!E46/'V34'!$B$112, 'V35'!E46/'V35'!$B$112)) * 100,"")</f>
        <v>107.78967733102429</v>
      </c>
      <c r="J46" s="18">
        <f>IFERROR(((F46/$B$112) / AVERAGE('V25'!F46/'V25'!$B$112, 'V26'!F46/'V26'!$B$112, 'V27'!F46/'V27'!$B$112, 'V28'!F46/'V28'!$B$112, 'V29'!F46/'V29'!$B$112, 'V30'!F46/'V30'!$B$112, 'V31'!F46/'V31'!$B$112, 'V32'!F46/'V32'!$B$112, 'V33'!F46/'V33'!$B$112, 'V34'!F46/'V34'!$B$112, 'V35'!F46/'V35'!$B$112)) * 100,"")</f>
        <v>110.92870701563746</v>
      </c>
      <c r="K46" s="18">
        <f>IFERROR(((G46/$B$112) / AVERAGE('V25'!G46/'V25'!$B$112, 'V26'!G46/'V26'!$B$112, 'V27'!G46/'V27'!$B$112, 'V28'!G46/'V28'!$B$112, 'V29'!G46/'V29'!$B$112, 'V30'!G46/'V30'!$B$112, 'V31'!G46/'V31'!$B$112, 'V32'!G46/'V32'!$B$112, 'V33'!G46/'V33'!$B$112, 'V34'!G46/'V34'!$B$112, 'V35'!G46/'V35'!$B$112)) * 100,"")</f>
        <v>167.403264742864</v>
      </c>
    </row>
    <row r="47" spans="1:11">
      <c r="C47" s="2" t="s">
        <v>49</v>
      </c>
    </row>
    <row r="48" spans="1:11">
      <c r="C48" s="2" t="s">
        <v>50</v>
      </c>
    </row>
    <row r="49" spans="1:11">
      <c r="C49" s="2" t="s">
        <v>51</v>
      </c>
    </row>
    <row r="50" spans="1:11">
      <c r="C50" s="9" t="s">
        <v>19</v>
      </c>
      <c r="D50" s="10"/>
      <c r="E50" s="11">
        <f>SUM(E46:E49)</f>
        <v>181</v>
      </c>
      <c r="F50" s="11">
        <f>SUM(F46:F49)</f>
        <v>14327.28</v>
      </c>
      <c r="G50" s="11">
        <f>SUM(G46:G49)</f>
        <v>1657.28</v>
      </c>
      <c r="H50" s="12">
        <f>IFERROR(G50/F50,"")</f>
        <v>0.11567303772942246</v>
      </c>
    </row>
    <row r="51" spans="1:11">
      <c r="B51" s="5" t="s">
        <v>20</v>
      </c>
      <c r="E51" s="16">
        <f>IFERROR((E50-('V35'!E50))/('V35'!E50),"")</f>
        <v>0.11728395061728394</v>
      </c>
      <c r="F51" s="16">
        <f>IFERROR((F50-('V35'!F50))/('V35'!F50),"")</f>
        <v>0.11666666666666675</v>
      </c>
      <c r="G51" s="16">
        <f>IFERROR((G50-('V35'!G50))/('V35'!G50),"")</f>
        <v>0.22725118483412313</v>
      </c>
      <c r="H51" s="16">
        <f>IFERROR(H50-('V35'!H50),"")</f>
        <v>1.0423006553465342E-2</v>
      </c>
    </row>
    <row r="52" spans="1:11">
      <c r="B52" s="5" t="s">
        <v>21</v>
      </c>
      <c r="E52" s="13">
        <f>E50/$B$112</f>
        <v>1.1872745162348311E-2</v>
      </c>
      <c r="F52" s="13">
        <f>F50/$B$112</f>
        <v>0.93980190226303706</v>
      </c>
      <c r="G52" s="13">
        <f>G50/$B$112</f>
        <v>0.10870974089865529</v>
      </c>
    </row>
    <row r="53" spans="1:11">
      <c r="B53" s="5" t="s">
        <v>22</v>
      </c>
      <c r="E53" s="8">
        <f>IFERROR((E52-'V35'!E52)/'V35'!E52,"")</f>
        <v>0.17283667180901241</v>
      </c>
      <c r="F53" s="8">
        <f>IFERROR((F52-'V35'!F52)/'V35'!F52,"")</f>
        <v>0.1721886957472395</v>
      </c>
      <c r="G53" s="8">
        <f>IFERROR((G52-'V35'!G52)/'V35'!G52,"")</f>
        <v>0.28827161107907318</v>
      </c>
    </row>
    <row r="54" spans="1:11">
      <c r="B54" s="5" t="s">
        <v>23</v>
      </c>
      <c r="E54" s="18">
        <f>(E52 / AVERAGE('V25'!E52,'V26'!E52,'V27'!E52,'V28'!E52,'V29'!E52,'V30'!E52,'V31'!E52,'V32'!E52,'V33'!E52,'V34'!E52,'V35'!E52)) * 100</f>
        <v>107.78967733102429</v>
      </c>
      <c r="F54" s="18">
        <f>(F52 / AVERAGE('V25'!F52,'V26'!F52,'V27'!F52,'V28'!F52,'V29'!F52,'V30'!F52,'V31'!F52,'V32'!F52,'V33'!F52,'V34'!F52,'V35'!F52)) * 100</f>
        <v>110.92870701563746</v>
      </c>
      <c r="G54" s="18">
        <f>(G52 / AVERAGE('V25'!G52,'V26'!G52,'V27'!G52,'V28'!G52,'V29'!G52,'V30'!G52,'V31'!G52,'V32'!G52,'V33'!G52,'V34'!G52,'V35'!G52)) * 100</f>
        <v>167.403264742864</v>
      </c>
      <c r="H54" s="14">
        <f>IFERROR((G54*0.6)+(F54*0.4),"")</f>
        <v>144.81344165197339</v>
      </c>
    </row>
    <row r="55" spans="1:11">
      <c r="A55" s="1">
        <v>6</v>
      </c>
      <c r="C55" s="2" t="s">
        <v>52</v>
      </c>
      <c r="D55" s="2" t="s">
        <v>5</v>
      </c>
      <c r="E55" s="2" t="s">
        <v>6</v>
      </c>
      <c r="F55" s="2" t="s">
        <v>7</v>
      </c>
      <c r="G55" s="2" t="s">
        <v>8</v>
      </c>
      <c r="H55" s="2" t="s">
        <v>9</v>
      </c>
      <c r="I55" s="2" t="s">
        <v>10</v>
      </c>
      <c r="J55" s="2" t="s">
        <v>11</v>
      </c>
      <c r="K55" s="2" t="s">
        <v>12</v>
      </c>
    </row>
    <row r="56" spans="1:11">
      <c r="B56" s="6" t="s">
        <v>53</v>
      </c>
      <c r="C56" s="2" t="s">
        <v>54</v>
      </c>
      <c r="D56" s="5" t="s">
        <v>55</v>
      </c>
      <c r="E56" s="7">
        <v>162</v>
      </c>
      <c r="F56" s="7">
        <v>6603.12</v>
      </c>
      <c r="G56" s="7">
        <v>1419.12</v>
      </c>
      <c r="H56" s="8">
        <f>IFERROR(G56/F56,"")</f>
        <v>0.21491658488714424</v>
      </c>
      <c r="I56" s="18">
        <f>IFERROR(((E56/$B$112) / AVERAGE('V25'!E56/'V25'!$B$112, 'V26'!E56/'V26'!$B$112, 'V27'!E56/'V27'!$B$112, 'V28'!E56/'V28'!$B$112, 'V29'!E56/'V29'!$B$112, 'V30'!E56/'V30'!$B$112, 'V31'!E56/'V31'!$B$112, 'V32'!E56/'V32'!$B$112, 'V33'!E56/'V33'!$B$112, 'V34'!E56/'V34'!$B$112, 'V35'!E56/'V35'!$B$112)) * 100,"")</f>
        <v>104.22918779654846</v>
      </c>
      <c r="J56" s="18">
        <f>IFERROR(((F56/$B$112) / AVERAGE('V25'!F56/'V25'!$B$112, 'V26'!F56/'V26'!$B$112, 'V27'!F56/'V27'!$B$112, 'V28'!F56/'V28'!$B$112, 'V29'!F56/'V29'!$B$112, 'V30'!F56/'V30'!$B$112, 'V31'!F56/'V31'!$B$112, 'V32'!F56/'V32'!$B$112, 'V33'!F56/'V33'!$B$112, 'V34'!F56/'V34'!$B$112, 'V35'!F56/'V35'!$B$112)) * 100,"")</f>
        <v>104.23367904253456</v>
      </c>
      <c r="K56" s="18">
        <f>IFERROR(((G56/$B$112) / AVERAGE('V25'!G56/'V25'!$B$112, 'V26'!G56/'V26'!$B$112, 'V27'!G56/'V27'!$B$112, 'V28'!G56/'V28'!$B$112, 'V29'!G56/'V29'!$B$112, 'V30'!G56/'V30'!$B$112, 'V31'!G56/'V31'!$B$112, 'V32'!G56/'V32'!$B$112, 'V33'!G56/'V33'!$B$112, 'V34'!G56/'V34'!$B$112, 'V35'!G56/'V35'!$B$112)) * 100,"")</f>
        <v>104.98897069396477</v>
      </c>
    </row>
    <row r="57" spans="1:11">
      <c r="C57" s="2" t="s">
        <v>56</v>
      </c>
    </row>
    <row r="58" spans="1:11">
      <c r="C58" s="2" t="s">
        <v>57</v>
      </c>
    </row>
    <row r="59" spans="1:11">
      <c r="C59" s="2" t="s">
        <v>58</v>
      </c>
    </row>
    <row r="60" spans="1:11">
      <c r="C60" s="9" t="s">
        <v>19</v>
      </c>
      <c r="D60" s="10"/>
      <c r="E60" s="11">
        <f>SUM(E56:E59)</f>
        <v>162</v>
      </c>
      <c r="F60" s="11">
        <f>SUM(F56:F59)</f>
        <v>6603.12</v>
      </c>
      <c r="G60" s="11">
        <f>SUM(G56:G59)</f>
        <v>1419.12</v>
      </c>
      <c r="H60" s="12">
        <f>IFERROR(G60/F60,"")</f>
        <v>0.21491658488714424</v>
      </c>
    </row>
    <row r="61" spans="1:11">
      <c r="B61" s="5" t="s">
        <v>20</v>
      </c>
      <c r="E61" s="16">
        <f>IFERROR((E60-('V35'!E60))/('V35'!E60),"")</f>
        <v>-5.8139534883720929E-2</v>
      </c>
      <c r="F61" s="16">
        <f>IFERROR((F60-('V35'!F60))/('V35'!F60),"")</f>
        <v>-5.8139534883720978E-2</v>
      </c>
      <c r="G61" s="16">
        <f>IFERROR((G60-('V35'!G60))/('V35'!G60),"")</f>
        <v>-5.813953488372102E-2</v>
      </c>
      <c r="H61" s="16">
        <f>IFERROR(H60-('V35'!H60),"")</f>
        <v>-2.7755575615628914E-17</v>
      </c>
    </row>
    <row r="62" spans="1:11">
      <c r="B62" s="5" t="s">
        <v>21</v>
      </c>
      <c r="E62" s="13">
        <f>E60/$B$112</f>
        <v>1.0626434896687438E-2</v>
      </c>
      <c r="F62" s="13">
        <f>F60/$B$112</f>
        <v>0.43313348638897997</v>
      </c>
      <c r="G62" s="13">
        <f>G60/$B$112</f>
        <v>9.3087569694981956E-2</v>
      </c>
    </row>
    <row r="63" spans="1:11">
      <c r="B63" s="5" t="s">
        <v>22</v>
      </c>
      <c r="E63" s="8">
        <f>IFERROR((E62-'V35'!E62)/'V35'!E62,"")</f>
        <v>-1.1309083420412265E-2</v>
      </c>
      <c r="F63" s="8">
        <f>IFERROR((F62-'V35'!F62)/'V35'!F62,"")</f>
        <v>-1.1309083420412482E-2</v>
      </c>
      <c r="G63" s="8">
        <f>IFERROR((G62-'V35'!G62)/'V35'!G62,"")</f>
        <v>-1.1309083420412397E-2</v>
      </c>
    </row>
    <row r="64" spans="1:11">
      <c r="B64" s="5" t="s">
        <v>23</v>
      </c>
      <c r="E64" s="18">
        <f>(E62 / AVERAGE('V25'!E62,'V26'!E62,'V27'!E62,'V28'!E62,'V29'!E62,'V30'!E62,'V31'!E62,'V32'!E62,'V33'!E62,'V34'!E62,'V35'!E62)) * 100</f>
        <v>104.22918779654846</v>
      </c>
      <c r="F64" s="18">
        <f>(F62 / AVERAGE('V25'!F62,'V26'!F62,'V27'!F62,'V28'!F62,'V29'!F62,'V30'!F62,'V31'!F62,'V32'!F62,'V33'!F62,'V34'!F62,'V35'!F62)) * 100</f>
        <v>104.23367904253456</v>
      </c>
      <c r="G64" s="18">
        <f>(G62 / AVERAGE('V25'!G62,'V26'!G62,'V27'!G62,'V28'!G62,'V29'!G62,'V30'!G62,'V31'!G62,'V32'!G62,'V33'!G62,'V34'!G62,'V35'!G62)) * 100</f>
        <v>104.98897069396477</v>
      </c>
      <c r="H64" s="14">
        <f>IFERROR((G64*0.6)+(F64*0.4),"")</f>
        <v>104.68685403339269</v>
      </c>
    </row>
    <row r="65" spans="1:11">
      <c r="A65" s="1">
        <v>7</v>
      </c>
      <c r="C65" s="2" t="s">
        <v>59</v>
      </c>
      <c r="D65" s="2" t="s">
        <v>5</v>
      </c>
      <c r="E65" s="2" t="s">
        <v>6</v>
      </c>
      <c r="F65" s="2" t="s">
        <v>7</v>
      </c>
      <c r="G65" s="2" t="s">
        <v>8</v>
      </c>
      <c r="H65" s="2" t="s">
        <v>9</v>
      </c>
      <c r="I65" s="2" t="s">
        <v>10</v>
      </c>
      <c r="J65" s="2" t="s">
        <v>11</v>
      </c>
      <c r="K65" s="2" t="s">
        <v>12</v>
      </c>
    </row>
    <row r="66" spans="1:11">
      <c r="B66" s="6" t="s">
        <v>60</v>
      </c>
      <c r="C66" s="2" t="s">
        <v>61</v>
      </c>
      <c r="D66" s="5" t="s">
        <v>62</v>
      </c>
      <c r="E66" s="7">
        <v>139</v>
      </c>
      <c r="F66" s="7">
        <v>2885.64</v>
      </c>
      <c r="G66" s="7">
        <v>668.59</v>
      </c>
      <c r="H66" s="8">
        <f>IFERROR(G66/F66,"")</f>
        <v>0.23169556840077074</v>
      </c>
      <c r="I66" s="18">
        <f>IFERROR(((E66/$B$112) / AVERAGE('V25'!E66/'V25'!$B$112, 'V26'!E66/'V26'!$B$112, 'V27'!E66/'V27'!$B$112, 'V28'!E66/'V28'!$B$112, 'V29'!E66/'V29'!$B$112, 'V30'!E66/'V30'!$B$112, 'V31'!E66/'V31'!$B$112, 'V32'!E66/'V32'!$B$112, 'V33'!E66/'V33'!$B$112, 'V34'!E66/'V34'!$B$112, 'V35'!E66/'V35'!$B$112)) * 100,"")</f>
        <v>133.0267579266384</v>
      </c>
      <c r="J66" s="18">
        <f>IFERROR(((F66/$B$112) / AVERAGE('V25'!F66/'V25'!$B$112, 'V26'!F66/'V26'!$B$112, 'V27'!F66/'V27'!$B$112, 'V28'!F66/'V28'!$B$112, 'V29'!F66/'V29'!$B$112, 'V30'!F66/'V30'!$B$112, 'V31'!F66/'V31'!$B$112, 'V32'!F66/'V32'!$B$112, 'V33'!F66/'V33'!$B$112, 'V34'!F66/'V34'!$B$112, 'V35'!F66/'V35'!$B$112)) * 100,"")</f>
        <v>133.09412890991703</v>
      </c>
      <c r="K66" s="18">
        <f>IFERROR(((G66/$B$112) / AVERAGE('V25'!G66/'V25'!$B$112, 'V26'!G66/'V26'!$B$112, 'V27'!G66/'V27'!$B$112, 'V28'!G66/'V28'!$B$112, 'V29'!G66/'V29'!$B$112, 'V30'!G66/'V30'!$B$112, 'V31'!G66/'V31'!$B$112, 'V32'!G66/'V32'!$B$112, 'V33'!G66/'V33'!$B$112, 'V34'!G66/'V34'!$B$112, 'V35'!G66/'V35'!$B$112)) * 100,"")</f>
        <v>133.31802079233609</v>
      </c>
    </row>
    <row r="67" spans="1:11">
      <c r="C67" s="2" t="s">
        <v>63</v>
      </c>
    </row>
    <row r="68" spans="1:11">
      <c r="C68" s="2" t="s">
        <v>64</v>
      </c>
    </row>
    <row r="69" spans="1:11">
      <c r="C69" s="2" t="s">
        <v>65</v>
      </c>
    </row>
    <row r="70" spans="1:11">
      <c r="C70" s="9" t="s">
        <v>19</v>
      </c>
      <c r="D70" s="10"/>
      <c r="E70" s="11">
        <f>SUM(E66:E69)</f>
        <v>139</v>
      </c>
      <c r="F70" s="11">
        <f>SUM(F66:F69)</f>
        <v>2885.64</v>
      </c>
      <c r="G70" s="11">
        <f>SUM(G66:G69)</f>
        <v>668.59</v>
      </c>
      <c r="H70" s="12">
        <f>IFERROR(G70/F70,"")</f>
        <v>0.23169556840077074</v>
      </c>
    </row>
    <row r="71" spans="1:11">
      <c r="B71" s="5" t="s">
        <v>20</v>
      </c>
      <c r="E71" s="16">
        <f>IFERROR((E70-('V35'!E70))/('V35'!E70),"")</f>
        <v>8.59375E-2</v>
      </c>
      <c r="F71" s="16">
        <f>IFERROR((F70-('V35'!F70))/('V35'!F70),"")</f>
        <v>8.7640212278374138E-2</v>
      </c>
      <c r="G71" s="16">
        <f>IFERROR((G70-('V35'!G70))/('V35'!G70),"")</f>
        <v>9.3324829931972872E-2</v>
      </c>
      <c r="H71" s="16">
        <f>IFERROR(H70-('V35'!H70),"")</f>
        <v>1.2046746605705316E-3</v>
      </c>
    </row>
    <row r="72" spans="1:11">
      <c r="B72" s="5" t="s">
        <v>21</v>
      </c>
      <c r="E72" s="13">
        <f>E70/$B$112</f>
        <v>9.117743522466382E-3</v>
      </c>
      <c r="F72" s="13">
        <f>F70/$B$112</f>
        <v>0.1892843555264021</v>
      </c>
      <c r="G72" s="13">
        <f>G70/$B$112</f>
        <v>4.3856346343063304E-2</v>
      </c>
    </row>
    <row r="73" spans="1:11">
      <c r="B73" s="5" t="s">
        <v>22</v>
      </c>
      <c r="E73" s="8">
        <f>IFERROR((E72-'V35'!E72)/'V35'!E72,"")</f>
        <v>0.13993163742210549</v>
      </c>
      <c r="F73" s="8">
        <f>IFERROR((F72-'V35'!F72)/'V35'!F72,"")</f>
        <v>0.14171901063239242</v>
      </c>
      <c r="G73" s="8">
        <f>IFERROR((G72-'V35'!G72)/'V35'!G72,"")</f>
        <v>0.14768627441137186</v>
      </c>
    </row>
    <row r="74" spans="1:11">
      <c r="B74" s="5" t="s">
        <v>23</v>
      </c>
      <c r="E74" s="18">
        <f>(E72 / AVERAGE('V25'!E72,'V26'!E72,'V27'!E72,'V28'!E72,'V29'!E72,'V30'!E72,'V31'!E72,'V32'!E72,'V33'!E72,'V34'!E72,'V35'!E72)) * 100</f>
        <v>133.0267579266384</v>
      </c>
      <c r="F74" s="18">
        <f>(F72 / AVERAGE('V25'!F72,'V26'!F72,'V27'!F72,'V28'!F72,'V29'!F72,'V30'!F72,'V31'!F72,'V32'!F72,'V33'!F72,'V34'!F72,'V35'!F72)) * 100</f>
        <v>133.09412890991703</v>
      </c>
      <c r="G74" s="18">
        <f>(G72 / AVERAGE('V25'!G72,'V26'!G72,'V27'!G72,'V28'!G72,'V29'!G72,'V30'!G72,'V31'!G72,'V32'!G72,'V33'!G72,'V34'!G72,'V35'!G72)) * 100</f>
        <v>133.31802079233609</v>
      </c>
      <c r="H74" s="14">
        <f>IFERROR((G74*0.6)+(F74*0.4),"")</f>
        <v>133.22846403936848</v>
      </c>
    </row>
    <row r="75" spans="1:11">
      <c r="A75" s="1">
        <v>8</v>
      </c>
      <c r="C75" s="2" t="s">
        <v>66</v>
      </c>
      <c r="D75" s="2" t="s">
        <v>5</v>
      </c>
      <c r="E75" s="2" t="s">
        <v>6</v>
      </c>
      <c r="F75" s="2" t="s">
        <v>7</v>
      </c>
      <c r="G75" s="2" t="s">
        <v>8</v>
      </c>
      <c r="H75" s="2" t="s">
        <v>9</v>
      </c>
      <c r="I75" s="2" t="s">
        <v>10</v>
      </c>
      <c r="J75" s="2" t="s">
        <v>11</v>
      </c>
      <c r="K75" s="2" t="s">
        <v>12</v>
      </c>
    </row>
    <row r="76" spans="1:11">
      <c r="B76" s="6" t="s">
        <v>114</v>
      </c>
      <c r="C76" s="2" t="s">
        <v>68</v>
      </c>
      <c r="D76" s="5" t="s">
        <v>115</v>
      </c>
      <c r="E76" s="7">
        <v>139</v>
      </c>
      <c r="F76" s="7">
        <v>2780</v>
      </c>
      <c r="G76" s="7">
        <v>639.4</v>
      </c>
      <c r="H76" s="8">
        <f>IFERROR(G76/F76,"")</f>
        <v>0.22999999999999998</v>
      </c>
      <c r="I76" s="18">
        <f>IFERROR(((E76/$B$112) / AVERAGE('V25'!E76/'V25'!$B$112, 'V26'!E76/'V26'!$B$112, 'V27'!E76/'V27'!$B$112, 'V28'!E76/'V28'!$B$112, 'V29'!E76/'V29'!$B$112, 'V30'!E76/'V30'!$B$112, 'V31'!E76/'V31'!$B$112, 'V32'!E76/'V32'!$B$112, 'V33'!E76/'V33'!$B$112, 'V34'!E76/'V34'!$B$112, 'V35'!E76/'V35'!$B$112)) * 100,"")</f>
        <v>202.13122044686455</v>
      </c>
      <c r="J76" s="18">
        <f>IFERROR(((F76/$B$112) / AVERAGE('V25'!F76/'V25'!$B$112, 'V26'!F76/'V26'!$B$112, 'V27'!F76/'V27'!$B$112, 'V28'!F76/'V28'!$B$112, 'V29'!F76/'V29'!$B$112, 'V30'!F76/'V30'!$B$112, 'V31'!F76/'V31'!$B$112, 'V32'!F76/'V32'!$B$112, 'V33'!F76/'V33'!$B$112, 'V34'!F76/'V34'!$B$112, 'V35'!F76/'V35'!$B$112)) * 100,"")</f>
        <v>163.46859788118243</v>
      </c>
      <c r="K76" s="18">
        <f>IFERROR(((G76/$B$112) / AVERAGE('V25'!G76/'V25'!$B$112, 'V26'!G76/'V26'!$B$112, 'V27'!G76/'V27'!$B$112, 'V28'!G76/'V28'!$B$112, 'V29'!G76/'V29'!$B$112, 'V30'!G76/'V30'!$B$112, 'V31'!G76/'V31'!$B$112, 'V32'!G76/'V32'!$B$112, 'V33'!G76/'V33'!$B$112, 'V34'!G76/'V34'!$B$112, 'V35'!G76/'V35'!$B$112)) * 100,"")</f>
        <v>168.44723428374431</v>
      </c>
    </row>
    <row r="77" spans="1:11">
      <c r="C77" s="2" t="s">
        <v>70</v>
      </c>
    </row>
    <row r="78" spans="1:11">
      <c r="C78" s="2" t="s">
        <v>71</v>
      </c>
    </row>
    <row r="79" spans="1:11">
      <c r="C79" s="2" t="s">
        <v>72</v>
      </c>
    </row>
    <row r="80" spans="1:11">
      <c r="C80" s="9" t="s">
        <v>19</v>
      </c>
      <c r="D80" s="10"/>
      <c r="E80" s="11">
        <f>SUM(E76:E79)</f>
        <v>139</v>
      </c>
      <c r="F80" s="11">
        <f>SUM(F76:F79)</f>
        <v>2780</v>
      </c>
      <c r="G80" s="11">
        <f>SUM(G76:G79)</f>
        <v>639.4</v>
      </c>
      <c r="H80" s="12">
        <f>IFERROR(G80/F80,"")</f>
        <v>0.22999999999999998</v>
      </c>
    </row>
    <row r="81" spans="1:11">
      <c r="B81" s="5" t="s">
        <v>20</v>
      </c>
      <c r="E81" s="16">
        <f>IFERROR((E80-('V35'!E80))/('V35'!E80),"")</f>
        <v>-0.16265060240963855</v>
      </c>
      <c r="F81" s="16">
        <f>IFERROR((F80-('V35'!F80))/('V35'!F80),"")</f>
        <v>-0.16265060240963855</v>
      </c>
      <c r="G81" s="16">
        <f>IFERROR((G80-('V35'!G80))/('V35'!G80),"")</f>
        <v>-0.16265060240963861</v>
      </c>
      <c r="H81" s="16">
        <f>IFERROR(H80-('V35'!H80),"")</f>
        <v>-2.7755575615628914E-17</v>
      </c>
    </row>
    <row r="82" spans="1:11">
      <c r="B82" s="5" t="s">
        <v>21</v>
      </c>
      <c r="E82" s="13">
        <f>E80/$B$112</f>
        <v>9.117743522466382E-3</v>
      </c>
      <c r="F82" s="13">
        <f>F80/$B$112</f>
        <v>0.18235487044932766</v>
      </c>
      <c r="G82" s="13">
        <f>G80/$B$112</f>
        <v>4.194162020334536E-2</v>
      </c>
    </row>
    <row r="83" spans="1:11">
      <c r="B83" s="5" t="s">
        <v>22</v>
      </c>
      <c r="E83" s="8">
        <f>IFERROR((E82-'V35'!E82)/'V35'!E82,"")</f>
        <v>-0.12101656873476194</v>
      </c>
      <c r="F83" s="8">
        <f>IFERROR((F82-'V35'!F82)/'V35'!F82,"")</f>
        <v>-0.1210165687347619</v>
      </c>
      <c r="G83" s="8">
        <f>IFERROR((G82-'V35'!G82)/'V35'!G82,"")</f>
        <v>-0.12101656873476198</v>
      </c>
    </row>
    <row r="84" spans="1:11">
      <c r="B84" s="5" t="s">
        <v>23</v>
      </c>
      <c r="E84" s="18">
        <f>(E82 / AVERAGE('V25'!E82,'V26'!E82,'V27'!E82,'V28'!E82,'V29'!E82,'V30'!E82,'V31'!E82,'V32'!E82,'V33'!E82,'V34'!E82,'V35'!E82)) * 100</f>
        <v>202.13122044686455</v>
      </c>
      <c r="F84" s="18">
        <f>(F82 / AVERAGE('V25'!F82,'V26'!F82,'V27'!F82,'V28'!F82,'V29'!F82,'V30'!F82,'V31'!F82,'V32'!F82,'V33'!F82,'V34'!F82,'V35'!F82)) * 100</f>
        <v>163.46859788118243</v>
      </c>
      <c r="G84" s="18">
        <f>(G82 / AVERAGE('V25'!G82,'V26'!G82,'V27'!G82,'V28'!G82,'V29'!G82,'V30'!G82,'V31'!G82,'V32'!G82,'V33'!G82,'V34'!G82,'V35'!G82)) * 100</f>
        <v>168.44723428374431</v>
      </c>
      <c r="H84" s="14">
        <f>IFERROR((G84*0.6)+(F84*0.4),"")</f>
        <v>166.45577972271957</v>
      </c>
    </row>
    <row r="85" spans="1:11">
      <c r="A85" s="1">
        <v>9</v>
      </c>
      <c r="C85" s="2" t="s">
        <v>73</v>
      </c>
      <c r="D85" s="2" t="s">
        <v>5</v>
      </c>
      <c r="E85" s="2" t="s">
        <v>6</v>
      </c>
      <c r="F85" s="2" t="s">
        <v>7</v>
      </c>
      <c r="G85" s="2" t="s">
        <v>8</v>
      </c>
      <c r="H85" s="2" t="s">
        <v>9</v>
      </c>
      <c r="I85" s="2" t="s">
        <v>10</v>
      </c>
      <c r="J85" s="2" t="s">
        <v>11</v>
      </c>
      <c r="K85" s="2" t="s">
        <v>12</v>
      </c>
    </row>
    <row r="86" spans="1:11">
      <c r="B86" s="6" t="s">
        <v>74</v>
      </c>
      <c r="C86" s="2" t="s">
        <v>75</v>
      </c>
      <c r="D86" s="5" t="s">
        <v>76</v>
      </c>
      <c r="E86" s="7">
        <v>201</v>
      </c>
      <c r="F86" s="7">
        <v>7234.2</v>
      </c>
      <c r="G86" s="7">
        <v>1208.22</v>
      </c>
      <c r="H86" s="8">
        <f>IFERROR(G86/F86,"")</f>
        <v>0.16701501202620886</v>
      </c>
      <c r="I86" s="18">
        <f>IFERROR(((E86/$B$112) / AVERAGE('V25'!E86/'V25'!$B$112, 'V26'!E86/'V26'!$B$112, 'V27'!E86/'V27'!$B$112, 'V28'!E86/'V28'!$B$112, 'V29'!E86/'V29'!$B$112, 'V30'!E86/'V30'!$B$112, 'V31'!E86/'V31'!$B$112, 'V32'!E86/'V32'!$B$112, 'V33'!E86/'V33'!$B$112, 'V34'!E86/'V34'!$B$112, 'V35'!E86/'V35'!$B$112)) * 100,"")</f>
        <v>110.60291948634489</v>
      </c>
      <c r="J86" s="18">
        <f>IFERROR(((F86/$B$112) / AVERAGE('V25'!F86/'V25'!$B$112, 'V26'!F86/'V26'!$B$112, 'V27'!F86/'V27'!$B$112, 'V28'!F86/'V28'!$B$112, 'V29'!F86/'V29'!$B$112, 'V30'!F86/'V30'!$B$112, 'V31'!F86/'V31'!$B$112, 'V32'!F86/'V32'!$B$112, 'V33'!F86/'V33'!$B$112, 'V34'!F86/'V34'!$B$112, 'V35'!F86/'V35'!$B$112)) * 100,"")</f>
        <v>110.58646916189228</v>
      </c>
      <c r="K86" s="18">
        <f>IFERROR(((G86/$B$112) / AVERAGE('V25'!G86/'V25'!$B$112, 'V26'!G86/'V26'!$B$112, 'V27'!G86/'V27'!$B$112, 'V28'!G86/'V28'!$B$112, 'V29'!G86/'V29'!$B$112, 'V30'!G86/'V30'!$B$112, 'V31'!G86/'V31'!$B$112, 'V32'!G86/'V32'!$B$112, 'V33'!G86/'V33'!$B$112, 'V34'!G86/'V34'!$B$112, 'V35'!G86/'V35'!$B$112)) * 100,"")</f>
        <v>109.72352290280907</v>
      </c>
    </row>
    <row r="87" spans="1:11">
      <c r="C87" s="2" t="s">
        <v>77</v>
      </c>
    </row>
    <row r="88" spans="1:11">
      <c r="C88" s="2" t="s">
        <v>78</v>
      </c>
    </row>
    <row r="89" spans="1:11">
      <c r="C89" s="2" t="s">
        <v>79</v>
      </c>
    </row>
    <row r="90" spans="1:11">
      <c r="C90" s="9" t="s">
        <v>19</v>
      </c>
      <c r="D90" s="10"/>
      <c r="E90" s="11">
        <f>SUM(E86:E89)</f>
        <v>201</v>
      </c>
      <c r="F90" s="11">
        <f>SUM(F86:F89)</f>
        <v>7234.2</v>
      </c>
      <c r="G90" s="11">
        <f>SUM(G86:G89)</f>
        <v>1208.22</v>
      </c>
      <c r="H90" s="12">
        <f>IFERROR(G90/F90,"")</f>
        <v>0.16701501202620886</v>
      </c>
    </row>
    <row r="91" spans="1:11">
      <c r="B91" s="5" t="s">
        <v>20</v>
      </c>
      <c r="E91" s="16">
        <f>IFERROR((E90-('V35'!E90))/('V35'!E90),"")</f>
        <v>-0.15899581589958159</v>
      </c>
      <c r="F91" s="16">
        <f>IFERROR((F90-('V35'!F90))/('V35'!F90),"")</f>
        <v>-0.159029085582758</v>
      </c>
      <c r="G91" s="16">
        <f>IFERROR((G90-('V35'!G90))/('V35'!G90),"")</f>
        <v>-0.15919497835738841</v>
      </c>
      <c r="H91" s="16">
        <f>IFERROR(H90-('V35'!H90),"")</f>
        <v>-3.2952447995393541E-5</v>
      </c>
    </row>
    <row r="92" spans="1:11">
      <c r="B92" s="5" t="s">
        <v>21</v>
      </c>
      <c r="E92" s="13">
        <f>E90/$B$112</f>
        <v>1.318465070514923E-2</v>
      </c>
      <c r="F92" s="13">
        <f>F90/$B$112</f>
        <v>0.47452935388652018</v>
      </c>
      <c r="G92" s="13">
        <f>G90/$B$112</f>
        <v>7.9253525746146275E-2</v>
      </c>
    </row>
    <row r="93" spans="1:11">
      <c r="B93" s="5" t="s">
        <v>22</v>
      </c>
      <c r="E93" s="8">
        <f>IFERROR((E92-'V35'!E92)/'V35'!E92,"")</f>
        <v>-0.11718006178032166</v>
      </c>
      <c r="F93" s="8">
        <f>IFERROR((F92-'V35'!F92)/'V35'!F92,"")</f>
        <v>-0.11721498567273701</v>
      </c>
      <c r="G93" s="8">
        <f>IFERROR((G92-'V35'!G92)/'V35'!G92,"")</f>
        <v>-0.11738912683852334</v>
      </c>
    </row>
    <row r="94" spans="1:11">
      <c r="B94" s="5" t="s">
        <v>23</v>
      </c>
      <c r="E94" s="18">
        <f>(E92 / AVERAGE('V25'!E92,'V26'!E92,'V27'!E92,'V28'!E92,'V29'!E92,'V30'!E92,'V31'!E92,'V32'!E92,'V33'!E92,'V34'!E92,'V35'!E92)) * 100</f>
        <v>110.60291948634489</v>
      </c>
      <c r="F94" s="18">
        <f>(F92 / AVERAGE('V25'!F92,'V26'!F92,'V27'!F92,'V28'!F92,'V29'!F92,'V30'!F92,'V31'!F92,'V32'!F92,'V33'!F92,'V34'!F92,'V35'!F92)) * 100</f>
        <v>110.58646916189228</v>
      </c>
      <c r="G94" s="18">
        <f>(G92 / AVERAGE('V25'!G92,'V26'!G92,'V27'!G92,'V28'!G92,'V29'!G92,'V30'!G92,'V31'!G92,'V32'!G92,'V33'!G92,'V34'!G92,'V35'!G92)) * 100</f>
        <v>109.72352290280907</v>
      </c>
      <c r="H94" s="14">
        <f>IFERROR((G94*0.6)+(F94*0.4),"")</f>
        <v>110.06870140644236</v>
      </c>
    </row>
    <row r="95" spans="1:11">
      <c r="A95" s="1">
        <v>10</v>
      </c>
      <c r="C95" s="2" t="s">
        <v>80</v>
      </c>
      <c r="D95" s="2" t="s">
        <v>5</v>
      </c>
      <c r="E95" s="2" t="s">
        <v>6</v>
      </c>
      <c r="F95" s="2" t="s">
        <v>7</v>
      </c>
      <c r="G95" s="2" t="s">
        <v>8</v>
      </c>
      <c r="H95" s="2" t="s">
        <v>9</v>
      </c>
      <c r="I95" s="2" t="s">
        <v>10</v>
      </c>
      <c r="J95" s="2" t="s">
        <v>11</v>
      </c>
      <c r="K95" s="2" t="s">
        <v>12</v>
      </c>
    </row>
    <row r="96" spans="1:11">
      <c r="B96" s="6" t="s">
        <v>81</v>
      </c>
      <c r="C96" s="2" t="s">
        <v>82</v>
      </c>
      <c r="D96" s="5" t="s">
        <v>83</v>
      </c>
      <c r="E96" s="7">
        <v>219</v>
      </c>
      <c r="F96" s="7">
        <v>7884</v>
      </c>
      <c r="G96" s="7">
        <v>1318.38</v>
      </c>
      <c r="H96" s="8">
        <f>IFERROR(G96/F96,"")</f>
        <v>0.16722222222222224</v>
      </c>
      <c r="I96" s="18">
        <f>IFERROR(((E96/$B$112) / AVERAGE('V25'!E96/'V25'!$B$112, 'V26'!E96/'V26'!$B$112, 'V27'!E96/'V27'!$B$112, 'V28'!E96/'V28'!$B$112, 'V29'!E96/'V29'!$B$112, 'V30'!E96/'V30'!$B$112, 'V31'!E96/'V31'!$B$112, 'V32'!E96/'V32'!$B$112, 'V33'!E96/'V33'!$B$112, 'V34'!E96/'V34'!$B$112, 'V35'!E96/'V35'!$B$112)) * 100,"")</f>
        <v>101.72035193002158</v>
      </c>
      <c r="J96" s="18">
        <f>IFERROR(((F96/$B$112) / AVERAGE('V25'!F96/'V25'!$B$112, 'V26'!F96/'V26'!$B$112, 'V27'!F96/'V27'!$B$112, 'V28'!F96/'V28'!$B$112, 'V29'!F96/'V29'!$B$112, 'V30'!F96/'V30'!$B$112, 'V31'!F96/'V31'!$B$112, 'V32'!F96/'V32'!$B$112, 'V33'!F96/'V33'!$B$112, 'V34'!F96/'V34'!$B$112, 'V35'!F96/'V35'!$B$112)) * 100,"")</f>
        <v>101.73868426940484</v>
      </c>
      <c r="K96" s="18">
        <f>IFERROR(((G96/$B$112) / AVERAGE('V25'!G96/'V25'!$B$112, 'V26'!G96/'V26'!$B$112, 'V27'!G96/'V27'!$B$112, 'V28'!G96/'V28'!$B$112, 'V29'!G96/'V29'!$B$112, 'V30'!G96/'V30'!$B$112, 'V31'!G96/'V31'!$B$112, 'V32'!G96/'V32'!$B$112, 'V33'!G96/'V33'!$B$112, 'V34'!G96/'V34'!$B$112, 'V35'!G96/'V35'!$B$112)) * 100,"")</f>
        <v>101.30889713558675</v>
      </c>
    </row>
    <row r="97" spans="2:8">
      <c r="C97" s="2" t="s">
        <v>84</v>
      </c>
    </row>
    <row r="98" spans="2:8">
      <c r="C98" s="2" t="s">
        <v>85</v>
      </c>
    </row>
    <row r="99" spans="2:8">
      <c r="C99" s="2" t="s">
        <v>86</v>
      </c>
    </row>
    <row r="100" spans="2:8">
      <c r="C100" s="9" t="s">
        <v>19</v>
      </c>
      <c r="D100" s="10"/>
      <c r="E100" s="11">
        <f>SUM(E96:E99)</f>
        <v>219</v>
      </c>
      <c r="F100" s="11">
        <f>SUM(F96:F99)</f>
        <v>7884</v>
      </c>
      <c r="G100" s="11">
        <f>SUM(G96:G99)</f>
        <v>1318.38</v>
      </c>
      <c r="H100" s="12">
        <f>IFERROR(G100/F100,"")</f>
        <v>0.16722222222222224</v>
      </c>
    </row>
    <row r="101" spans="2:8">
      <c r="B101" s="5" t="s">
        <v>20</v>
      </c>
      <c r="E101" s="16">
        <f>IFERROR((E100-('V35'!E100))/('V35'!E100),"")</f>
        <v>-0.13438735177865613</v>
      </c>
      <c r="F101" s="16">
        <f>IFERROR((F100-('V35'!F100))/('V35'!F100),"")</f>
        <v>-0.13370253164556956</v>
      </c>
      <c r="G101" s="16">
        <f>IFERROR((G100-('V35'!G100))/('V35'!G100),"")</f>
        <v>-0.11272781112875871</v>
      </c>
      <c r="H101" s="16">
        <f>IFERROR(H100-('V35'!H100),"")</f>
        <v>3.9530590717299641E-3</v>
      </c>
    </row>
    <row r="102" spans="2:8">
      <c r="B102" s="5" t="s">
        <v>21</v>
      </c>
      <c r="E102" s="13">
        <f>E100/$B$112</f>
        <v>1.4365365693670055E-2</v>
      </c>
      <c r="F102" s="13">
        <f>F100/$B$112</f>
        <v>0.51715316497212205</v>
      </c>
      <c r="G102" s="13">
        <f>G100/$B$112</f>
        <v>8.6479501475893741E-2</v>
      </c>
    </row>
    <row r="103" spans="2:8">
      <c r="B103" s="5" t="s">
        <v>22</v>
      </c>
      <c r="E103" s="8">
        <f>IFERROR((E102-'V35'!E102)/'V35'!E102,"")</f>
        <v>-9.1348034799201908E-2</v>
      </c>
      <c r="F103" s="8">
        <f>IFERROR((F102-'V35'!F102)/'V35'!F102,"")</f>
        <v>-9.0629164573568288E-2</v>
      </c>
      <c r="G103" s="8">
        <f>IFERROR((G102-'V35'!G102)/'V35'!G102,"")</f>
        <v>-6.8611555361989165E-2</v>
      </c>
    </row>
    <row r="104" spans="2:8">
      <c r="B104" s="5" t="s">
        <v>23</v>
      </c>
      <c r="E104" s="18">
        <f>(E102 / AVERAGE('V25'!E102,'V26'!E102,'V27'!E102,'V28'!E102,'V29'!E102,'V30'!E102,'V31'!E102,'V32'!E102,'V33'!E102,'V34'!E102,'V35'!E102)) * 100</f>
        <v>101.72035193002158</v>
      </c>
      <c r="F104" s="18">
        <f>(F102 / AVERAGE('V25'!F102,'V26'!F102,'V27'!F102,'V28'!F102,'V29'!F102,'V30'!F102,'V31'!F102,'V32'!F102,'V33'!F102,'V34'!F102,'V35'!F102)) * 100</f>
        <v>101.73868426940484</v>
      </c>
      <c r="G104" s="18">
        <f>(G102 / AVERAGE('V25'!G102,'V26'!G102,'V27'!G102,'V28'!G102,'V29'!G102,'V30'!G102,'V31'!G102,'V32'!G102,'V33'!G102,'V34'!G102,'V35'!G102)) * 100</f>
        <v>101.30889713558675</v>
      </c>
      <c r="H104" s="14">
        <f>IFERROR((G104*0.6)+(F104*0.4),"")</f>
        <v>101.48081198911399</v>
      </c>
    </row>
    <row r="106" spans="2:8">
      <c r="B106" s="2" t="s">
        <v>87</v>
      </c>
      <c r="E106" s="15">
        <f>E10+E20+E30+E40+E50+E60+E70+E80+E90+E100</f>
        <v>2315</v>
      </c>
      <c r="F106" s="15">
        <f>F10+F20+F30+F40+F50+F60+F70+F80+F90+F100</f>
        <v>78873.440000000002</v>
      </c>
      <c r="G106" s="15">
        <f>G10+G20+G30+G40+G50+G60+G70+G80+G90+G100</f>
        <v>14783.740000000002</v>
      </c>
      <c r="H106" s="16">
        <f>IFERROR(G106/F106,"")</f>
        <v>0.18743622694788006</v>
      </c>
    </row>
    <row r="107" spans="2:8">
      <c r="B107" s="5" t="s">
        <v>88</v>
      </c>
      <c r="E107" s="16">
        <f>IFERROR((E106-'V35'!E106)/'V35'!E106,"")</f>
        <v>-2.6083298275136727E-2</v>
      </c>
      <c r="F107" s="16">
        <f>IFERROR((F106-'V35'!F106)/'V35'!F106,"")</f>
        <v>2.1270821388598347E-2</v>
      </c>
      <c r="G107" s="16">
        <f>IFERROR((G106-'V35'!G106)/'V35'!G106,"")</f>
        <v>4.3811333996553188E-2</v>
      </c>
      <c r="H107" s="16">
        <f>IFERROR(H106-'V35'!H106,"")</f>
        <v>4.0475788096013543E-3</v>
      </c>
    </row>
    <row r="108" spans="2:8">
      <c r="B108" s="5" t="s">
        <v>21</v>
      </c>
      <c r="E108" s="13">
        <f>E106/$B$112</f>
        <v>0.1518530665792063</v>
      </c>
      <c r="F108" s="13">
        <f>F106/$B$112</f>
        <v>5.1737251557887838</v>
      </c>
      <c r="G108" s="13">
        <f>G106/$B$112</f>
        <v>0.96974352246638251</v>
      </c>
    </row>
    <row r="109" spans="2:8">
      <c r="B109" s="5" t="s">
        <v>22</v>
      </c>
      <c r="E109" s="8">
        <f>IFERROR((E108-'V35'!E108)/'V35'!E108,"")</f>
        <v>2.2341028383272295E-2</v>
      </c>
      <c r="F109" s="8">
        <f>IFERROR((F108-'V35'!F108)/'V35'!F108,"")</f>
        <v>7.2049652652131299E-2</v>
      </c>
      <c r="G109" s="8">
        <f>IFERROR((G108-'V35'!G108)/'V35'!G108,"")</f>
        <v>9.5710907048005264E-2</v>
      </c>
    </row>
    <row r="110" spans="2:8">
      <c r="B110" s="5" t="s">
        <v>23</v>
      </c>
      <c r="E110" s="18">
        <f>IFERROR((E108 / AVERAGE('V25'!E108,'V26'!E108,'V27'!E108,'V28'!E108,'V29'!E108,'V30'!E108,'V31'!E108,'V32'!E108,'V33'!E108,'V34'!E108,'V35'!E108)) * 100,"")</f>
        <v>112.81526557249946</v>
      </c>
      <c r="F110" s="18">
        <f>IFERROR((F108 / AVERAGE('V25'!F108,'V26'!F108,'V27'!F108,'V28'!F108,'V29'!F108,'V30'!F108,'V31'!F108,'V32'!F108,'V33'!F108,'V34'!F108,'V35'!F108)) * 100,"")</f>
        <v>113.5563113026913</v>
      </c>
      <c r="G110" s="18">
        <f>IFERROR((G108 / AVERAGE('V25'!G108,'V26'!G108,'V27'!G108,'V28'!G108,'V29'!G108,'V30'!G108,'V31'!G108,'V32'!G108,'V33'!G108,'V34'!G108,'V35'!G108)) * 100,"")</f>
        <v>117.5166619042293</v>
      </c>
      <c r="H110" s="14">
        <f>IFERROR((G110*0.6)+(F110*0.4),"")</f>
        <v>115.9325216636141</v>
      </c>
    </row>
    <row r="111" spans="2:8">
      <c r="B111" s="5" t="s">
        <v>89</v>
      </c>
      <c r="C111" s="5" t="s">
        <v>90</v>
      </c>
      <c r="D111" s="5" t="s">
        <v>91</v>
      </c>
    </row>
    <row r="112" spans="2:8">
      <c r="B112" s="17">
        <v>15245</v>
      </c>
      <c r="C112" s="17">
        <f>B112-'V35'!$B$112</f>
        <v>-758</v>
      </c>
      <c r="D112" s="19">
        <f>C112/'V35'!$B$112</f>
        <v>-4.7366118852715113E-2</v>
      </c>
    </row>
  </sheetData>
  <conditionalFormatting sqref="E11:G11">
    <cfRule type="cellIs" dxfId="153" priority="1" operator="lessThan">
      <formula>0</formula>
    </cfRule>
    <cfRule type="cellIs" dxfId="152" priority="2" operator="greaterThan">
      <formula>0</formula>
    </cfRule>
  </conditionalFormatting>
  <conditionalFormatting sqref="E21:G21">
    <cfRule type="cellIs" dxfId="151" priority="3" operator="lessThan">
      <formula>0</formula>
    </cfRule>
    <cfRule type="cellIs" dxfId="150" priority="4" operator="greaterThan">
      <formula>0</formula>
    </cfRule>
  </conditionalFormatting>
  <conditionalFormatting sqref="E31:G31">
    <cfRule type="cellIs" dxfId="149" priority="5" operator="lessThan">
      <formula>0</formula>
    </cfRule>
    <cfRule type="cellIs" dxfId="148" priority="6" operator="greaterThan">
      <formula>0</formula>
    </cfRule>
  </conditionalFormatting>
  <conditionalFormatting sqref="E41:G41">
    <cfRule type="cellIs" dxfId="147" priority="7" operator="lessThan">
      <formula>0</formula>
    </cfRule>
    <cfRule type="cellIs" dxfId="146" priority="8" operator="greaterThan">
      <formula>0</formula>
    </cfRule>
  </conditionalFormatting>
  <conditionalFormatting sqref="E51:G51">
    <cfRule type="cellIs" dxfId="145" priority="9" operator="lessThan">
      <formula>0</formula>
    </cfRule>
    <cfRule type="cellIs" dxfId="144" priority="10" operator="greaterThan">
      <formula>0</formula>
    </cfRule>
  </conditionalFormatting>
  <conditionalFormatting sqref="E61:G61">
    <cfRule type="cellIs" dxfId="143" priority="11" operator="lessThan">
      <formula>0</formula>
    </cfRule>
    <cfRule type="cellIs" dxfId="142" priority="12" operator="greaterThan">
      <formula>0</formula>
    </cfRule>
  </conditionalFormatting>
  <conditionalFormatting sqref="E71:G71">
    <cfRule type="cellIs" dxfId="141" priority="13" operator="lessThan">
      <formula>0</formula>
    </cfRule>
    <cfRule type="cellIs" dxfId="140" priority="14" operator="greaterThan">
      <formula>0</formula>
    </cfRule>
  </conditionalFormatting>
  <conditionalFormatting sqref="E81:G81">
    <cfRule type="cellIs" dxfId="139" priority="15" operator="lessThan">
      <formula>0</formula>
    </cfRule>
    <cfRule type="cellIs" dxfId="138" priority="16" operator="greaterThan">
      <formula>0</formula>
    </cfRule>
  </conditionalFormatting>
  <conditionalFormatting sqref="E91:G91">
    <cfRule type="cellIs" dxfId="137" priority="17" operator="lessThan">
      <formula>0</formula>
    </cfRule>
    <cfRule type="cellIs" dxfId="136" priority="18" operator="greaterThan">
      <formula>0</formula>
    </cfRule>
  </conditionalFormatting>
  <conditionalFormatting sqref="E101:G101">
    <cfRule type="cellIs" dxfId="135" priority="19" operator="lessThan">
      <formula>0</formula>
    </cfRule>
    <cfRule type="cellIs" dxfId="134" priority="20" operator="greaterThan">
      <formula>0</formula>
    </cfRule>
  </conditionalFormatting>
  <conditionalFormatting sqref="E107:G107">
    <cfRule type="cellIs" dxfId="133" priority="21" operator="lessThan">
      <formula>0</formula>
    </cfRule>
    <cfRule type="cellIs" dxfId="132" priority="22" operator="greaterThan">
      <formula>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12"/>
  <sheetViews>
    <sheetView zoomScaleNormal="100" zoomScaleSheetLayoutView="100" workbookViewId="0"/>
  </sheetViews>
  <sheetFormatPr defaultRowHeight="15"/>
  <cols>
    <col min="2" max="2" width="16" customWidth="1"/>
    <col min="4" max="4" width="26" customWidth="1"/>
    <col min="5" max="5" width="10" customWidth="1"/>
    <col min="6" max="7" width="12" customWidth="1"/>
    <col min="8" max="8" width="10" customWidth="1"/>
    <col min="9" max="11" width="12" customWidth="1"/>
  </cols>
  <sheetData>
    <row r="1" spans="1:11">
      <c r="A1" s="1" t="s">
        <v>0</v>
      </c>
    </row>
    <row r="3" spans="1:11">
      <c r="C3" s="2" t="s">
        <v>122</v>
      </c>
    </row>
    <row r="4" spans="1:11">
      <c r="C4" s="3" t="s">
        <v>123</v>
      </c>
      <c r="I4" s="4">
        <v>37</v>
      </c>
      <c r="J4" s="5" t="s">
        <v>3</v>
      </c>
    </row>
    <row r="5" spans="1:11">
      <c r="A5" s="1">
        <v>1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</row>
    <row r="6" spans="1:11">
      <c r="B6" s="6" t="s">
        <v>104</v>
      </c>
      <c r="C6" s="2" t="s">
        <v>14</v>
      </c>
      <c r="D6" s="5" t="s">
        <v>105</v>
      </c>
      <c r="E6" s="7">
        <v>123</v>
      </c>
      <c r="F6" s="7">
        <v>9741.6</v>
      </c>
      <c r="G6" s="7">
        <v>2129.13</v>
      </c>
      <c r="H6" s="8">
        <f>IFERROR(G6/F6,"")</f>
        <v>0.21856060606060607</v>
      </c>
      <c r="I6" s="18">
        <f>IFERROR(((E6/$B$112) / AVERAGE('V25'!E6/'V25'!$B$112, 'V26'!E6/'V26'!$B$112, 'V27'!E6/'V27'!$B$112, 'V28'!E6/'V28'!$B$112, 'V29'!E6/'V29'!$B$112, 'V30'!E6/'V30'!$B$112, 'V31'!E6/'V31'!$B$112, 'V32'!E6/'V32'!$B$112, 'V33'!E6/'V33'!$B$112, 'V34'!E6/'V34'!$B$112, 'V35'!E6/'V35'!$B$112, 'V36'!E6/'V36'!$B$112)) * 100,"")</f>
        <v>101.71673006913402</v>
      </c>
      <c r="J6" s="18">
        <f>IFERROR(((F6/$B$112) / AVERAGE('V25'!F6/'V25'!$B$112, 'V26'!F6/'V26'!$B$112, 'V27'!F6/'V27'!$B$112, 'V28'!F6/'V28'!$B$112, 'V29'!F6/'V29'!$B$112, 'V30'!F6/'V30'!$B$112, 'V31'!F6/'V31'!$B$112, 'V32'!F6/'V32'!$B$112, 'V33'!F6/'V33'!$B$112, 'V34'!F6/'V34'!$B$112, 'V35'!F6/'V35'!$B$112, 'V36'!F6/'V36'!$B$112)) * 100,"")</f>
        <v>109.35611863801627</v>
      </c>
      <c r="K6" s="18">
        <f>IFERROR(((G6/$B$112) / AVERAGE('V25'!G6/'V25'!$B$112, 'V26'!G6/'V26'!$B$112, 'V27'!G6/'V27'!$B$112, 'V28'!G6/'V28'!$B$112, 'V29'!G6/'V29'!$B$112, 'V30'!G6/'V30'!$B$112, 'V31'!G6/'V31'!$B$112, 'V32'!G6/'V32'!$B$112, 'V33'!G6/'V33'!$B$112, 'V34'!G6/'V34'!$B$112, 'V35'!G6/'V35'!$B$112, 'V36'!G6/'V36'!$B$112)) * 100,"")</f>
        <v>109.08837037212318</v>
      </c>
    </row>
    <row r="7" spans="1:11">
      <c r="C7" s="2" t="s">
        <v>16</v>
      </c>
    </row>
    <row r="8" spans="1:11">
      <c r="C8" s="2" t="s">
        <v>17</v>
      </c>
    </row>
    <row r="9" spans="1:11">
      <c r="C9" s="2" t="s">
        <v>18</v>
      </c>
    </row>
    <row r="10" spans="1:11">
      <c r="C10" s="9" t="s">
        <v>19</v>
      </c>
      <c r="D10" s="10"/>
      <c r="E10" s="11">
        <f>SUM(E6:E9)</f>
        <v>123</v>
      </c>
      <c r="F10" s="11">
        <f>SUM(F6:F9)</f>
        <v>9741.6</v>
      </c>
      <c r="G10" s="11">
        <f>SUM(G6:G9)</f>
        <v>2129.13</v>
      </c>
      <c r="H10" s="12">
        <f>IFERROR(G10/F10,"")</f>
        <v>0.21856060606060607</v>
      </c>
    </row>
    <row r="11" spans="1:11">
      <c r="B11" s="5" t="s">
        <v>20</v>
      </c>
      <c r="E11" s="16">
        <f>IFERROR((E10-('V36'!E10))/('V36'!E10),"")</f>
        <v>-0.20645161290322581</v>
      </c>
      <c r="F11" s="16">
        <f>IFERROR((F10-('V36'!F10))/('V36'!F10),"")</f>
        <v>-0.20619554695062925</v>
      </c>
      <c r="G11" s="16">
        <f>IFERROR((G10-('V36'!G10))/('V36'!G10),"")</f>
        <v>-0.20527865805180118</v>
      </c>
      <c r="H11" s="16">
        <f>IFERROR(H10-('V36'!H10),"")</f>
        <v>2.5215856532412317E-4</v>
      </c>
    </row>
    <row r="12" spans="1:11">
      <c r="B12" s="5" t="s">
        <v>21</v>
      </c>
      <c r="E12" s="13">
        <f>E10/$B$112</f>
        <v>7.6459252812830234E-3</v>
      </c>
      <c r="F12" s="13">
        <f>F10/$B$112</f>
        <v>0.60555728227761552</v>
      </c>
      <c r="G12" s="13">
        <f>G10/$B$112</f>
        <v>0.13235096661900914</v>
      </c>
    </row>
    <row r="13" spans="1:11">
      <c r="B13" s="5" t="s">
        <v>22</v>
      </c>
      <c r="E13" s="8">
        <f>IFERROR((E12-'V36'!E12)/'V36'!E12,"")</f>
        <v>-0.24798625217316328</v>
      </c>
      <c r="F13" s="8">
        <f>IFERROR((F12-'V36'!F12)/'V36'!F12,"")</f>
        <v>-0.24774358881471645</v>
      </c>
      <c r="G13" s="8">
        <f>IFERROR((G12-'V36'!G12)/'V36'!G12,"")</f>
        <v>-0.24687469024676512</v>
      </c>
    </row>
    <row r="14" spans="1:11">
      <c r="B14" s="5" t="s">
        <v>23</v>
      </c>
      <c r="E14" s="18">
        <f>(E12 / AVERAGE('V25'!E12,'V26'!E12,'V27'!E12,'V28'!E12,'V29'!E12,'V30'!E12,'V31'!E12,'V32'!E12,'V33'!E12,'V34'!E12,'V35'!E12,'V36'!E12)) * 100</f>
        <v>101.71673006913402</v>
      </c>
      <c r="F14" s="18">
        <f>(F12 / AVERAGE('V25'!F12,'V26'!F12,'V27'!F12,'V28'!F12,'V29'!F12,'V30'!F12,'V31'!F12,'V32'!F12,'V33'!F12,'V34'!F12,'V35'!F12,'V36'!F12)) * 100</f>
        <v>109.35611863801627</v>
      </c>
      <c r="G14" s="18">
        <f>(G12 / AVERAGE('V25'!G12,'V26'!G12,'V27'!G12,'V28'!G12,'V29'!G12,'V30'!G12,'V31'!G12,'V32'!G12,'V33'!G12,'V34'!G12,'V35'!G12,'V36'!G12)) * 100</f>
        <v>109.08837037212318</v>
      </c>
      <c r="H14" s="14">
        <f>IFERROR((G14*0.6)+(F14*0.4),"")</f>
        <v>109.19546967848041</v>
      </c>
    </row>
    <row r="15" spans="1:11">
      <c r="A15" s="1">
        <v>2</v>
      </c>
      <c r="C15" s="2" t="s">
        <v>24</v>
      </c>
      <c r="D15" s="2" t="s">
        <v>5</v>
      </c>
      <c r="E15" s="2" t="s">
        <v>6</v>
      </c>
      <c r="F15" s="2" t="s">
        <v>7</v>
      </c>
      <c r="G15" s="2" t="s">
        <v>8</v>
      </c>
      <c r="H15" s="2" t="s">
        <v>9</v>
      </c>
      <c r="I15" s="2" t="s">
        <v>10</v>
      </c>
      <c r="J15" s="2" t="s">
        <v>11</v>
      </c>
      <c r="K15" s="2" t="s">
        <v>12</v>
      </c>
    </row>
    <row r="16" spans="1:11">
      <c r="B16" s="6" t="s">
        <v>25</v>
      </c>
      <c r="C16" s="2" t="s">
        <v>26</v>
      </c>
      <c r="D16" s="5" t="s">
        <v>27</v>
      </c>
      <c r="E16" s="7">
        <v>202</v>
      </c>
      <c r="F16" s="7">
        <v>3223.92</v>
      </c>
      <c r="G16" s="7">
        <v>406.02</v>
      </c>
      <c r="H16" s="8">
        <f>IFERROR(G16/F16,"")</f>
        <v>0.12593984962406013</v>
      </c>
      <c r="I16" s="18">
        <f>IFERROR(((E16/$B$112) / AVERAGE('V25'!E16/'V25'!$B$112, 'V26'!E16/'V26'!$B$112, 'V27'!E16/'V27'!$B$112, 'V28'!E16/'V28'!$B$112, 'V29'!E16/'V29'!$B$112, 'V30'!E16/'V30'!$B$112, 'V31'!E16/'V31'!$B$112, 'V32'!E16/'V32'!$B$112, 'V33'!E16/'V33'!$B$112, 'V34'!E16/'V34'!$B$112, 'V35'!E16/'V35'!$B$112, 'V36'!E16/'V36'!$B$112)) * 100,"")</f>
        <v>119.11141292434968</v>
      </c>
      <c r="J16" s="18">
        <f>IFERROR(((F16/$B$112) / AVERAGE('V25'!F16/'V25'!$B$112, 'V26'!F16/'V26'!$B$112, 'V27'!F16/'V27'!$B$112, 'V28'!F16/'V28'!$B$112, 'V29'!F16/'V29'!$B$112, 'V30'!F16/'V30'!$B$112, 'V31'!F16/'V31'!$B$112, 'V32'!F16/'V32'!$B$112, 'V33'!F16/'V33'!$B$112, 'V34'!F16/'V34'!$B$112, 'V35'!F16/'V35'!$B$112, 'V36'!F16/'V36'!$B$112)) * 100,"")</f>
        <v>103.87820449438543</v>
      </c>
      <c r="K16" s="18">
        <f>IFERROR(((G16/$B$112) / AVERAGE('V25'!G16/'V25'!$B$112, 'V26'!G16/'V26'!$B$112, 'V27'!G16/'V27'!$B$112, 'V28'!G16/'V28'!$B$112, 'V29'!G16/'V29'!$B$112, 'V30'!G16/'V30'!$B$112, 'V31'!G16/'V31'!$B$112, 'V32'!G16/'V32'!$B$112, 'V33'!G16/'V33'!$B$112, 'V34'!G16/'V34'!$B$112, 'V35'!G16/'V35'!$B$112, 'V36'!G16/'V36'!$B$112)) * 100,"")</f>
        <v>75.199505523774562</v>
      </c>
    </row>
    <row r="17" spans="1:11">
      <c r="C17" s="2" t="s">
        <v>28</v>
      </c>
    </row>
    <row r="18" spans="1:11">
      <c r="C18" s="2" t="s">
        <v>29</v>
      </c>
    </row>
    <row r="19" spans="1:11">
      <c r="C19" s="2" t="s">
        <v>30</v>
      </c>
    </row>
    <row r="20" spans="1:11">
      <c r="C20" s="9" t="s">
        <v>19</v>
      </c>
      <c r="D20" s="10"/>
      <c r="E20" s="11">
        <f>SUM(E16:E19)</f>
        <v>202</v>
      </c>
      <c r="F20" s="11">
        <f>SUM(F16:F19)</f>
        <v>3223.92</v>
      </c>
      <c r="G20" s="11">
        <f>SUM(G16:G19)</f>
        <v>406.02</v>
      </c>
      <c r="H20" s="12">
        <f>IFERROR(G20/F20,"")</f>
        <v>0.12593984962406013</v>
      </c>
    </row>
    <row r="21" spans="1:11">
      <c r="B21" s="5" t="s">
        <v>20</v>
      </c>
      <c r="E21" s="16">
        <f>IFERROR((E20-('V36'!E20))/('V36'!E20),"")</f>
        <v>0</v>
      </c>
      <c r="F21" s="16">
        <f>IFERROR((F20-('V36'!F20))/('V36'!F20),"")</f>
        <v>0</v>
      </c>
      <c r="G21" s="16">
        <f>IFERROR((G20-('V36'!G20))/('V36'!G20),"")</f>
        <v>0</v>
      </c>
      <c r="H21" s="16">
        <f>IFERROR(H20-('V36'!H20),"")</f>
        <v>0</v>
      </c>
    </row>
    <row r="22" spans="1:11">
      <c r="B22" s="5" t="s">
        <v>21</v>
      </c>
      <c r="E22" s="13">
        <f>E20/$B$112</f>
        <v>1.2556722819668055E-2</v>
      </c>
      <c r="F22" s="13">
        <f>F20/$B$112</f>
        <v>0.20040529620190217</v>
      </c>
      <c r="G22" s="13">
        <f>G20/$B$112</f>
        <v>2.523901286753279E-2</v>
      </c>
    </row>
    <row r="23" spans="1:11">
      <c r="B23" s="5" t="s">
        <v>22</v>
      </c>
      <c r="E23" s="8">
        <f>IFERROR((E22-'V36'!E22)/'V36'!E22,"")</f>
        <v>-5.2340399080002473E-2</v>
      </c>
      <c r="F23" s="8">
        <f>IFERROR((F22-'V36'!F22)/'V36'!F22,"")</f>
        <v>-5.2340399080002493E-2</v>
      </c>
      <c r="G23" s="8">
        <f>IFERROR((G22-'V36'!G22)/'V36'!G22,"")</f>
        <v>-5.2340399080002424E-2</v>
      </c>
    </row>
    <row r="24" spans="1:11">
      <c r="B24" s="5" t="s">
        <v>23</v>
      </c>
      <c r="E24" s="18">
        <f>(E22 / AVERAGE('V25'!E22,'V26'!E22,'V27'!E22,'V28'!E22,'V29'!E22,'V30'!E22,'V31'!E22,'V32'!E22,'V33'!E22,'V34'!E22,'V35'!E22,'V36'!E22)) * 100</f>
        <v>119.11141292434968</v>
      </c>
      <c r="F24" s="18">
        <f>(F22 / AVERAGE('V25'!F22,'V26'!F22,'V27'!F22,'V28'!F22,'V29'!F22,'V30'!F22,'V31'!F22,'V32'!F22,'V33'!F22,'V34'!F22,'V35'!F22,'V36'!F22)) * 100</f>
        <v>103.87820449438543</v>
      </c>
      <c r="G24" s="18">
        <f>(G22 / AVERAGE('V25'!G22,'V26'!G22,'V27'!G22,'V28'!G22,'V29'!G22,'V30'!G22,'V31'!G22,'V32'!G22,'V33'!G22,'V34'!G22,'V35'!G22,'V36'!G22)) * 100</f>
        <v>75.199505523774562</v>
      </c>
      <c r="H24" s="14">
        <f>IFERROR((G24*0.6)+(F24*0.4),"")</f>
        <v>86.670985112018911</v>
      </c>
    </row>
    <row r="25" spans="1:11">
      <c r="A25" s="1">
        <v>3</v>
      </c>
      <c r="C25" s="2" t="s">
        <v>31</v>
      </c>
      <c r="D25" s="2" t="s">
        <v>5</v>
      </c>
      <c r="E25" s="2" t="s">
        <v>6</v>
      </c>
      <c r="F25" s="2" t="s">
        <v>7</v>
      </c>
      <c r="G25" s="2" t="s">
        <v>8</v>
      </c>
      <c r="H25" s="2" t="s">
        <v>9</v>
      </c>
      <c r="I25" s="2" t="s">
        <v>10</v>
      </c>
      <c r="J25" s="2" t="s">
        <v>11</v>
      </c>
      <c r="K25" s="2" t="s">
        <v>12</v>
      </c>
    </row>
    <row r="26" spans="1:11">
      <c r="B26" s="6" t="s">
        <v>32</v>
      </c>
      <c r="C26" s="2" t="s">
        <v>33</v>
      </c>
      <c r="D26" s="5" t="s">
        <v>34</v>
      </c>
      <c r="E26" s="7">
        <v>630</v>
      </c>
      <c r="F26" s="7">
        <v>14890.72</v>
      </c>
      <c r="G26" s="7">
        <v>3222.7</v>
      </c>
      <c r="H26" s="8">
        <f>IFERROR(G26/F26,"")</f>
        <v>0.21642338315407181</v>
      </c>
      <c r="I26" s="18">
        <f>IFERROR(((E26/$B$112) / AVERAGE('V25'!E26/'V25'!$B$112, 'V26'!E26/'V26'!$B$112, 'V27'!E26/'V27'!$B$112, 'V28'!E26/'V28'!$B$112, 'V29'!E26/'V29'!$B$112, 'V30'!E26/'V30'!$B$112, 'V31'!E26/'V31'!$B$112, 'V32'!E26/'V32'!$B$112, 'V33'!E26/'V33'!$B$112, 'V34'!E26/'V34'!$B$112, 'V35'!E26/'V35'!$B$112, 'V36'!E26/'V36'!$B$112)) * 100,"")</f>
        <v>126.73957677667227</v>
      </c>
      <c r="J26" s="18">
        <f>IFERROR(((F26/$B$112) / AVERAGE('V25'!F26/'V25'!$B$112, 'V26'!F26/'V26'!$B$112, 'V27'!F26/'V27'!$B$112, 'V28'!F26/'V28'!$B$112, 'V29'!F26/'V29'!$B$112, 'V30'!F26/'V30'!$B$112, 'V31'!F26/'V31'!$B$112, 'V32'!F26/'V32'!$B$112, 'V33'!F26/'V33'!$B$112, 'V34'!F26/'V34'!$B$112, 'V35'!F26/'V35'!$B$112, 'V36'!F26/'V36'!$B$112)) * 100,"")</f>
        <v>126.78806323492202</v>
      </c>
      <c r="K26" s="18">
        <f>IFERROR(((G26/$B$112) / AVERAGE('V25'!G26/'V25'!$B$112, 'V26'!G26/'V26'!$B$112, 'V27'!G26/'V27'!$B$112, 'V28'!G26/'V28'!$B$112, 'V29'!G26/'V29'!$B$112, 'V30'!G26/'V30'!$B$112, 'V31'!G26/'V31'!$B$112, 'V32'!G26/'V32'!$B$112, 'V33'!G26/'V33'!$B$112, 'V34'!G26/'V34'!$B$112, 'V35'!G26/'V35'!$B$112, 'V36'!G26/'V36'!$B$112)) * 100,"")</f>
        <v>124.67666499349832</v>
      </c>
    </row>
    <row r="27" spans="1:11">
      <c r="C27" s="2" t="s">
        <v>35</v>
      </c>
    </row>
    <row r="28" spans="1:11">
      <c r="C28" s="2" t="s">
        <v>36</v>
      </c>
    </row>
    <row r="29" spans="1:11">
      <c r="C29" s="2" t="s">
        <v>37</v>
      </c>
    </row>
    <row r="30" spans="1:11">
      <c r="C30" s="9" t="s">
        <v>19</v>
      </c>
      <c r="D30" s="10"/>
      <c r="E30" s="11">
        <f>SUM(E26:E29)</f>
        <v>630</v>
      </c>
      <c r="F30" s="11">
        <f>SUM(F26:F29)</f>
        <v>14890.72</v>
      </c>
      <c r="G30" s="11">
        <f>SUM(G26:G29)</f>
        <v>3222.7</v>
      </c>
      <c r="H30" s="12">
        <f>IFERROR(G30/F30,"")</f>
        <v>0.21642338315407181</v>
      </c>
    </row>
    <row r="31" spans="1:11">
      <c r="B31" s="5" t="s">
        <v>20</v>
      </c>
      <c r="E31" s="16">
        <f>IFERROR((E30-('V36'!E30))/('V36'!E30),"")</f>
        <v>0.23287671232876711</v>
      </c>
      <c r="F31" s="16">
        <f>IFERROR((F30-('V36'!F30))/('V36'!F30),"")</f>
        <v>0.23321451760372083</v>
      </c>
      <c r="G31" s="16">
        <f>IFERROR((G30-('V36'!G30))/('V36'!G30),"")</f>
        <v>0.22021127560486159</v>
      </c>
      <c r="H31" s="16">
        <f>IFERROR(H30-('V36'!H30),"")</f>
        <v>-2.3063265203554228E-3</v>
      </c>
    </row>
    <row r="32" spans="1:11">
      <c r="B32" s="5" t="s">
        <v>21</v>
      </c>
      <c r="E32" s="13">
        <f>E30/$B$112</f>
        <v>3.9162056318766708E-2</v>
      </c>
      <c r="F32" s="13">
        <f>F30/$B$112</f>
        <v>0.92563684963013615</v>
      </c>
      <c r="G32" s="13">
        <f>G30/$B$112</f>
        <v>0.20032945856903089</v>
      </c>
    </row>
    <row r="33" spans="1:11">
      <c r="B33" s="5" t="s">
        <v>22</v>
      </c>
      <c r="E33" s="8">
        <f>IFERROR((E32-'V36'!E32)/'V36'!E32,"")</f>
        <v>0.16834745318903807</v>
      </c>
      <c r="F33" s="8">
        <f>IFERROR((F32-'V36'!F32)/'V36'!F32,"")</f>
        <v>0.16866757760108944</v>
      </c>
      <c r="G33" s="8">
        <f>IFERROR((G32-'V36'!G32)/'V36'!G32,"")</f>
        <v>0.15634493047778422</v>
      </c>
    </row>
    <row r="34" spans="1:11">
      <c r="B34" s="5" t="s">
        <v>23</v>
      </c>
      <c r="E34" s="18">
        <f>(E32 / AVERAGE('V25'!E32,'V26'!E32,'V27'!E32,'V28'!E32,'V29'!E32,'V30'!E32,'V31'!E32,'V32'!E32,'V33'!E32,'V34'!E32,'V35'!E32,'V36'!E32)) * 100</f>
        <v>126.73957677667227</v>
      </c>
      <c r="F34" s="18">
        <f>(F32 / AVERAGE('V25'!F32,'V26'!F32,'V27'!F32,'V28'!F32,'V29'!F32,'V30'!F32,'V31'!F32,'V32'!F32,'V33'!F32,'V34'!F32,'V35'!F32,'V36'!F32)) * 100</f>
        <v>126.78806323492202</v>
      </c>
      <c r="G34" s="18">
        <f>(G32 / AVERAGE('V25'!G32,'V26'!G32,'V27'!G32,'V28'!G32,'V29'!G32,'V30'!G32,'V31'!G32,'V32'!G32,'V33'!G32,'V34'!G32,'V35'!G32,'V36'!G32)) * 100</f>
        <v>124.67666499349832</v>
      </c>
      <c r="H34" s="14">
        <f>IFERROR((G34*0.6)+(F34*0.4),"")</f>
        <v>125.52122429006781</v>
      </c>
    </row>
    <row r="35" spans="1:11">
      <c r="A35" s="1">
        <v>4</v>
      </c>
      <c r="C35" s="2" t="s">
        <v>38</v>
      </c>
      <c r="D35" s="2" t="s">
        <v>5</v>
      </c>
      <c r="E35" s="2" t="s">
        <v>6</v>
      </c>
      <c r="F35" s="2" t="s">
        <v>7</v>
      </c>
      <c r="G35" s="2" t="s">
        <v>8</v>
      </c>
      <c r="H35" s="2" t="s">
        <v>9</v>
      </c>
      <c r="I35" s="2" t="s">
        <v>10</v>
      </c>
      <c r="J35" s="2" t="s">
        <v>11</v>
      </c>
      <c r="K35" s="2" t="s">
        <v>12</v>
      </c>
    </row>
    <row r="36" spans="1:11">
      <c r="B36" s="6" t="s">
        <v>39</v>
      </c>
      <c r="C36" s="2" t="s">
        <v>40</v>
      </c>
      <c r="D36" s="5" t="s">
        <v>41</v>
      </c>
      <c r="E36" s="7">
        <v>436</v>
      </c>
      <c r="F36" s="7">
        <v>10301.120000000001</v>
      </c>
      <c r="G36" s="7">
        <v>2286.8000000000002</v>
      </c>
      <c r="H36" s="8">
        <f>IFERROR(G36/F36,"")</f>
        <v>0.22199527818334316</v>
      </c>
      <c r="I36" s="18">
        <f>IFERROR(((E36/$B$112) / AVERAGE('V25'!E36/'V25'!$B$112, 'V26'!E36/'V26'!$B$112, 'V27'!E36/'V27'!$B$112, 'V28'!E36/'V28'!$B$112, 'V29'!E36/'V29'!$B$112, 'V30'!E36/'V30'!$B$112, 'V31'!E36/'V31'!$B$112, 'V32'!E36/'V32'!$B$112, 'V33'!E36/'V33'!$B$112, 'V34'!E36/'V34'!$B$112, 'V35'!E36/'V35'!$B$112, 'V36'!E36/'V36'!$B$112)) * 100,"")</f>
        <v>97.989412999567762</v>
      </c>
      <c r="J36" s="18">
        <f>IFERROR(((F36/$B$112) / AVERAGE('V25'!F36/'V25'!$B$112, 'V26'!F36/'V26'!$B$112, 'V27'!F36/'V27'!$B$112, 'V28'!F36/'V28'!$B$112, 'V29'!F36/'V29'!$B$112, 'V30'!F36/'V30'!$B$112, 'V31'!F36/'V31'!$B$112, 'V32'!F36/'V32'!$B$112, 'V33'!F36/'V33'!$B$112, 'V34'!F36/'V34'!$B$112, 'V35'!F36/'V35'!$B$112, 'V36'!F36/'V36'!$B$112)) * 100,"")</f>
        <v>98.008315345211201</v>
      </c>
      <c r="K36" s="18">
        <f>IFERROR(((G36/$B$112) / AVERAGE('V25'!G36/'V25'!$B$112, 'V26'!G36/'V26'!$B$112, 'V27'!G36/'V27'!$B$112, 'V28'!G36/'V28'!$B$112, 'V29'!G36/'V29'!$B$112, 'V30'!G36/'V30'!$B$112, 'V31'!G36/'V31'!$B$112, 'V32'!G36/'V32'!$B$112, 'V33'!G36/'V33'!$B$112, 'V34'!G36/'V34'!$B$112, 'V35'!G36/'V35'!$B$112, 'V36'!G36/'V36'!$B$112)) * 100,"")</f>
        <v>97.593579431401452</v>
      </c>
    </row>
    <row r="37" spans="1:11">
      <c r="C37" s="2" t="s">
        <v>42</v>
      </c>
    </row>
    <row r="38" spans="1:11">
      <c r="C38" s="2" t="s">
        <v>43</v>
      </c>
    </row>
    <row r="39" spans="1:11">
      <c r="C39" s="2" t="s">
        <v>44</v>
      </c>
    </row>
    <row r="40" spans="1:11">
      <c r="C40" s="9" t="s">
        <v>19</v>
      </c>
      <c r="D40" s="10"/>
      <c r="E40" s="11">
        <f>SUM(E36:E39)</f>
        <v>436</v>
      </c>
      <c r="F40" s="11">
        <f>SUM(F36:F39)</f>
        <v>10301.120000000001</v>
      </c>
      <c r="G40" s="11">
        <f>SUM(G36:G39)</f>
        <v>2286.8000000000002</v>
      </c>
      <c r="H40" s="12">
        <f>IFERROR(G40/F40,"")</f>
        <v>0.22199527818334316</v>
      </c>
    </row>
    <row r="41" spans="1:11">
      <c r="B41" s="5" t="s">
        <v>20</v>
      </c>
      <c r="E41" s="16">
        <f>IFERROR((E40-('V36'!E40))/('V36'!E40),"")</f>
        <v>7.3891625615763554E-2</v>
      </c>
      <c r="F41" s="16">
        <f>IFERROR((F40-('V36'!F40))/('V36'!F40),"")</f>
        <v>7.4318038654557772E-2</v>
      </c>
      <c r="G41" s="16">
        <f>IFERROR((G40-('V36'!G40))/('V36'!G40),"")</f>
        <v>6.5342364922153895E-2</v>
      </c>
      <c r="H41" s="16">
        <f>IFERROR(H40-('V36'!H40),"")</f>
        <v>-1.8703444570642991E-3</v>
      </c>
    </row>
    <row r="42" spans="1:11">
      <c r="B42" s="5" t="s">
        <v>21</v>
      </c>
      <c r="E42" s="13">
        <f>E40/$B$112</f>
        <v>2.7102629452352832E-2</v>
      </c>
      <c r="F42" s="13">
        <f>F40/$B$112</f>
        <v>0.64033816124821286</v>
      </c>
      <c r="G42" s="13">
        <f>G40/$B$112</f>
        <v>0.14215204823770747</v>
      </c>
    </row>
    <row r="43" spans="1:11">
      <c r="B43" s="5" t="s">
        <v>22</v>
      </c>
      <c r="E43" s="8">
        <f>IFERROR((E42-'V36'!E42)/'V36'!E42,"")</f>
        <v>1.7683709362361813E-2</v>
      </c>
      <c r="F43" s="8">
        <f>IFERROR((F42-'V36'!F42)/'V36'!F42,"")</f>
        <v>1.8087803772532551E-2</v>
      </c>
      <c r="G43" s="8">
        <f>IFERROR((G42-'V36'!G42)/'V36'!G42,"")</f>
        <v>9.5819203852946112E-3</v>
      </c>
    </row>
    <row r="44" spans="1:11">
      <c r="B44" s="5" t="s">
        <v>23</v>
      </c>
      <c r="E44" s="18">
        <f>(E42 / AVERAGE('V25'!E42,'V26'!E42,'V27'!E42,'V28'!E42,'V29'!E42,'V30'!E42,'V31'!E42,'V32'!E42,'V33'!E42,'V34'!E42,'V35'!E42,'V36'!E42)) * 100</f>
        <v>97.989412999567762</v>
      </c>
      <c r="F44" s="18">
        <f>(F42 / AVERAGE('V25'!F42,'V26'!F42,'V27'!F42,'V28'!F42,'V29'!F42,'V30'!F42,'V31'!F42,'V32'!F42,'V33'!F42,'V34'!F42,'V35'!F42,'V36'!F42)) * 100</f>
        <v>98.008315345211201</v>
      </c>
      <c r="G44" s="18">
        <f>(G42 / AVERAGE('V25'!G42,'V26'!G42,'V27'!G42,'V28'!G42,'V29'!G42,'V30'!G42,'V31'!G42,'V32'!G42,'V33'!G42,'V34'!G42,'V35'!G42,'V36'!G42)) * 100</f>
        <v>97.593579431401452</v>
      </c>
      <c r="H44" s="14">
        <f>IFERROR((G44*0.6)+(F44*0.4),"")</f>
        <v>97.759473796925363</v>
      </c>
    </row>
    <row r="45" spans="1:11">
      <c r="A45" s="1">
        <v>5</v>
      </c>
      <c r="C45" s="2" t="s">
        <v>45</v>
      </c>
      <c r="D45" s="2" t="s">
        <v>5</v>
      </c>
      <c r="E45" s="2" t="s">
        <v>6</v>
      </c>
      <c r="F45" s="2" t="s">
        <v>7</v>
      </c>
      <c r="G45" s="2" t="s">
        <v>8</v>
      </c>
      <c r="H45" s="2" t="s">
        <v>9</v>
      </c>
      <c r="I45" s="2" t="s">
        <v>10</v>
      </c>
      <c r="J45" s="2" t="s">
        <v>11</v>
      </c>
      <c r="K45" s="2" t="s">
        <v>12</v>
      </c>
    </row>
    <row r="46" spans="1:11">
      <c r="B46" s="6" t="s">
        <v>124</v>
      </c>
      <c r="C46" s="2" t="s">
        <v>47</v>
      </c>
      <c r="D46" s="5" t="s">
        <v>125</v>
      </c>
      <c r="E46" s="7">
        <v>84</v>
      </c>
      <c r="F46" s="7">
        <v>6648.86</v>
      </c>
      <c r="G46" s="7">
        <v>1613.06</v>
      </c>
      <c r="H46" s="8">
        <f>IFERROR(G46/F46,"")</f>
        <v>0.24260700330582988</v>
      </c>
      <c r="I46" s="18">
        <f>IFERROR(((E46/$B$112) / AVERAGE('V25'!E46/'V25'!$B$112, 'V26'!E46/'V26'!$B$112, 'V27'!E46/'V27'!$B$112, 'V28'!E46/'V28'!$B$112, 'V29'!E46/'V29'!$B$112, 'V30'!E46/'V30'!$B$112, 'V31'!E46/'V31'!$B$112, 'V32'!E46/'V32'!$B$112, 'V33'!E46/'V33'!$B$112, 'V34'!E46/'V34'!$B$112, 'V35'!E46/'V35'!$B$112, 'V36'!E46/'V36'!$B$112)) * 100,"")</f>
        <v>47.099921413217785</v>
      </c>
      <c r="J46" s="18">
        <f>IFERROR(((F46/$B$112) / AVERAGE('V25'!F46/'V25'!$B$112, 'V26'!F46/'V26'!$B$112, 'V27'!F46/'V27'!$B$112, 'V28'!F46/'V28'!$B$112, 'V29'!F46/'V29'!$B$112, 'V30'!F46/'V30'!$B$112, 'V31'!F46/'V31'!$B$112, 'V32'!F46/'V32'!$B$112, 'V33'!F46/'V33'!$B$112, 'V34'!F46/'V34'!$B$112, 'V35'!F46/'V35'!$B$112, 'V36'!F46/'V36'!$B$112)) * 100,"")</f>
        <v>48.343983035237919</v>
      </c>
      <c r="K46" s="18">
        <f>IFERROR(((G46/$B$112) / AVERAGE('V25'!G46/'V25'!$B$112, 'V26'!G46/'V26'!$B$112, 'V27'!G46/'V27'!$B$112, 'V28'!G46/'V28'!$B$112, 'V29'!G46/'V29'!$B$112, 'V30'!G46/'V30'!$B$112, 'V31'!G46/'V31'!$B$112, 'V32'!G46/'V32'!$B$112, 'V33'!G46/'V33'!$B$112, 'V34'!G46/'V34'!$B$112, 'V35'!G46/'V35'!$B$112, 'V36'!G46/'V36'!$B$112)) * 100,"")</f>
        <v>146.19662517947654</v>
      </c>
    </row>
    <row r="47" spans="1:11">
      <c r="C47" s="2" t="s">
        <v>49</v>
      </c>
    </row>
    <row r="48" spans="1:11">
      <c r="C48" s="2" t="s">
        <v>50</v>
      </c>
    </row>
    <row r="49" spans="1:11">
      <c r="C49" s="2" t="s">
        <v>51</v>
      </c>
    </row>
    <row r="50" spans="1:11">
      <c r="C50" s="9" t="s">
        <v>19</v>
      </c>
      <c r="D50" s="10"/>
      <c r="E50" s="11">
        <f>SUM(E46:E49)</f>
        <v>84</v>
      </c>
      <c r="F50" s="11">
        <f>SUM(F46:F49)</f>
        <v>6648.86</v>
      </c>
      <c r="G50" s="11">
        <f>SUM(G46:G49)</f>
        <v>1613.06</v>
      </c>
      <c r="H50" s="12">
        <f>IFERROR(G50/F50,"")</f>
        <v>0.24260700330582988</v>
      </c>
    </row>
    <row r="51" spans="1:11">
      <c r="B51" s="5" t="s">
        <v>20</v>
      </c>
      <c r="E51" s="16">
        <f>IFERROR((E50-('V36'!E50))/('V36'!E50),"")</f>
        <v>-0.53591160220994472</v>
      </c>
      <c r="F51" s="16">
        <f>IFERROR((F50-('V36'!F50))/('V36'!F50),"")</f>
        <v>-0.53593005790352399</v>
      </c>
      <c r="G51" s="16">
        <f>IFERROR((G50-('V36'!G50))/('V36'!G50),"")</f>
        <v>-2.6682274570380398E-2</v>
      </c>
      <c r="H51" s="16">
        <f>IFERROR(H50-('V36'!H50),"")</f>
        <v>0.1269339655764074</v>
      </c>
    </row>
    <row r="52" spans="1:11">
      <c r="B52" s="5" t="s">
        <v>21</v>
      </c>
      <c r="E52" s="13">
        <f>E50/$B$112</f>
        <v>5.2216075091688942E-3</v>
      </c>
      <c r="F52" s="13">
        <f>F50/$B$112</f>
        <v>0.4133063964691987</v>
      </c>
      <c r="G52" s="13">
        <f>G50/$B$112</f>
        <v>0.10027102629452353</v>
      </c>
    </row>
    <row r="53" spans="1:11">
      <c r="B53" s="5" t="s">
        <v>22</v>
      </c>
      <c r="E53" s="8">
        <f>IFERROR((E52-'V36'!E52)/'V36'!E52,"")</f>
        <v>-0.56020217415867513</v>
      </c>
      <c r="F53" s="8">
        <f>IFERROR((F52-'V36'!F52)/'V36'!F52,"")</f>
        <v>-0.56021966387388711</v>
      </c>
      <c r="G53" s="8">
        <f>IFERROR((G52-'V36'!G52)/'V36'!G52,"")</f>
        <v>-7.7626112751006865E-2</v>
      </c>
    </row>
    <row r="54" spans="1:11">
      <c r="B54" s="5" t="s">
        <v>23</v>
      </c>
      <c r="E54" s="18">
        <f>(E52 / AVERAGE('V25'!E52,'V26'!E52,'V27'!E52,'V28'!E52,'V29'!E52,'V30'!E52,'V31'!E52,'V32'!E52,'V33'!E52,'V34'!E52,'V35'!E52,'V36'!E52)) * 100</f>
        <v>47.099921413217785</v>
      </c>
      <c r="F54" s="18">
        <f>(F52 / AVERAGE('V25'!F52,'V26'!F52,'V27'!F52,'V28'!F52,'V29'!F52,'V30'!F52,'V31'!F52,'V32'!F52,'V33'!F52,'V34'!F52,'V35'!F52,'V36'!F52)) * 100</f>
        <v>48.343983035237919</v>
      </c>
      <c r="G54" s="18">
        <f>(G52 / AVERAGE('V25'!G52,'V26'!G52,'V27'!G52,'V28'!G52,'V29'!G52,'V30'!G52,'V31'!G52,'V32'!G52,'V33'!G52,'V34'!G52,'V35'!G52,'V36'!G52)) * 100</f>
        <v>146.19662517947654</v>
      </c>
      <c r="H54" s="14">
        <f>IFERROR((G54*0.6)+(F54*0.4),"")</f>
        <v>107.05556832178108</v>
      </c>
    </row>
    <row r="55" spans="1:11">
      <c r="A55" s="1">
        <v>6</v>
      </c>
      <c r="C55" s="2" t="s">
        <v>52</v>
      </c>
      <c r="D55" s="2" t="s">
        <v>5</v>
      </c>
      <c r="E55" s="2" t="s">
        <v>6</v>
      </c>
      <c r="F55" s="2" t="s">
        <v>7</v>
      </c>
      <c r="G55" s="2" t="s">
        <v>8</v>
      </c>
      <c r="H55" s="2" t="s">
        <v>9</v>
      </c>
      <c r="I55" s="2" t="s">
        <v>10</v>
      </c>
      <c r="J55" s="2" t="s">
        <v>11</v>
      </c>
      <c r="K55" s="2" t="s">
        <v>12</v>
      </c>
    </row>
    <row r="56" spans="1:11">
      <c r="B56" s="6" t="s">
        <v>53</v>
      </c>
      <c r="C56" s="2" t="s">
        <v>54</v>
      </c>
      <c r="D56" s="5" t="s">
        <v>55</v>
      </c>
      <c r="E56" s="7">
        <v>197</v>
      </c>
      <c r="F56" s="7">
        <v>8029.72</v>
      </c>
      <c r="G56" s="7">
        <v>1725.72</v>
      </c>
      <c r="H56" s="8">
        <f>IFERROR(G56/F56,"")</f>
        <v>0.21491658488714427</v>
      </c>
      <c r="I56" s="18">
        <f>IFERROR(((E56/$B$112) / AVERAGE('V25'!E56/'V25'!$B$112, 'V26'!E56/'V26'!$B$112, 'V27'!E56/'V27'!$B$112, 'V28'!E56/'V28'!$B$112, 'V29'!E56/'V29'!$B$112, 'V30'!E56/'V30'!$B$112, 'V31'!E56/'V31'!$B$112, 'V32'!E56/'V32'!$B$112, 'V33'!E56/'V33'!$B$112, 'V34'!E56/'V34'!$B$112, 'V35'!E56/'V35'!$B$112, 'V36'!E56/'V36'!$B$112)) * 100,"")</f>
        <v>119.69197378429712</v>
      </c>
      <c r="J56" s="18">
        <f>IFERROR(((F56/$B$112) / AVERAGE('V25'!F56/'V25'!$B$112, 'V26'!F56/'V26'!$B$112, 'V27'!F56/'V27'!$B$112, 'V28'!F56/'V28'!$B$112, 'V29'!F56/'V29'!$B$112, 'V30'!F56/'V30'!$B$112, 'V31'!F56/'V31'!$B$112, 'V32'!F56/'V32'!$B$112, 'V33'!F56/'V33'!$B$112, 'V34'!F56/'V34'!$B$112, 'V35'!F56/'V35'!$B$112, 'V36'!F56/'V36'!$B$112)) * 100,"")</f>
        <v>119.69668490719192</v>
      </c>
      <c r="K56" s="18">
        <f>IFERROR(((G56/$B$112) / AVERAGE('V25'!G56/'V25'!$B$112, 'V26'!G56/'V26'!$B$112, 'V27'!G56/'V27'!$B$112, 'V28'!G56/'V28'!$B$112, 'V29'!G56/'V29'!$B$112, 'V30'!G56/'V30'!$B$112, 'V31'!G56/'V31'!$B$112, 'V32'!G56/'V32'!$B$112, 'V33'!G56/'V33'!$B$112, 'V34'!G56/'V34'!$B$112, 'V35'!G56/'V35'!$B$112, 'V36'!G56/'V36'!$B$112)) * 100,"")</f>
        <v>120.48845365056823</v>
      </c>
    </row>
    <row r="57" spans="1:11">
      <c r="C57" s="2" t="s">
        <v>56</v>
      </c>
    </row>
    <row r="58" spans="1:11">
      <c r="C58" s="2" t="s">
        <v>57</v>
      </c>
    </row>
    <row r="59" spans="1:11">
      <c r="C59" s="2" t="s">
        <v>58</v>
      </c>
    </row>
    <row r="60" spans="1:11">
      <c r="C60" s="9" t="s">
        <v>19</v>
      </c>
      <c r="D60" s="10"/>
      <c r="E60" s="11">
        <f>SUM(E56:E59)</f>
        <v>197</v>
      </c>
      <c r="F60" s="11">
        <f>SUM(F56:F59)</f>
        <v>8029.72</v>
      </c>
      <c r="G60" s="11">
        <f>SUM(G56:G59)</f>
        <v>1725.72</v>
      </c>
      <c r="H60" s="12">
        <f>IFERROR(G60/F60,"")</f>
        <v>0.21491658488714427</v>
      </c>
    </row>
    <row r="61" spans="1:11">
      <c r="B61" s="5" t="s">
        <v>20</v>
      </c>
      <c r="E61" s="16">
        <f>IFERROR((E60-('V36'!E60))/('V36'!E60),"")</f>
        <v>0.21604938271604937</v>
      </c>
      <c r="F61" s="16">
        <f>IFERROR((F60-('V36'!F60))/('V36'!F60),"")</f>
        <v>0.21604938271604945</v>
      </c>
      <c r="G61" s="16">
        <f>IFERROR((G60-('V36'!G60))/('V36'!G60),"")</f>
        <v>0.21604938271604948</v>
      </c>
      <c r="H61" s="16">
        <f>IFERROR(H60-('V36'!H60),"")</f>
        <v>2.7755575615628914E-17</v>
      </c>
    </row>
    <row r="62" spans="1:11">
      <c r="B62" s="5" t="s">
        <v>21</v>
      </c>
      <c r="E62" s="13">
        <f>E60/$B$112</f>
        <v>1.2245912848884192E-2</v>
      </c>
      <c r="F62" s="13">
        <f>F60/$B$112</f>
        <v>0.49914340772051968</v>
      </c>
      <c r="G62" s="13">
        <f>G60/$B$112</f>
        <v>0.10727419655622553</v>
      </c>
    </row>
    <row r="63" spans="1:11">
      <c r="B63" s="5" t="s">
        <v>22</v>
      </c>
      <c r="E63" s="8">
        <f>IFERROR((E62-'V36'!E62)/'V36'!E62,"")</f>
        <v>0.15240087272370062</v>
      </c>
      <c r="F63" s="8">
        <f>IFERROR((F62-'V36'!F62)/'V36'!F62,"")</f>
        <v>0.15240087272370076</v>
      </c>
      <c r="G63" s="8">
        <f>IFERROR((G62-'V36'!G62)/'V36'!G62,"")</f>
        <v>0.15240087272370079</v>
      </c>
    </row>
    <row r="64" spans="1:11">
      <c r="B64" s="5" t="s">
        <v>23</v>
      </c>
      <c r="E64" s="18">
        <f>(E62 / AVERAGE('V25'!E62,'V26'!E62,'V27'!E62,'V28'!E62,'V29'!E62,'V30'!E62,'V31'!E62,'V32'!E62,'V33'!E62,'V34'!E62,'V35'!E62,'V36'!E62)) * 100</f>
        <v>119.69197378429712</v>
      </c>
      <c r="F64" s="18">
        <f>(F62 / AVERAGE('V25'!F62,'V26'!F62,'V27'!F62,'V28'!F62,'V29'!F62,'V30'!F62,'V31'!F62,'V32'!F62,'V33'!F62,'V34'!F62,'V35'!F62,'V36'!F62)) * 100</f>
        <v>119.69668490719192</v>
      </c>
      <c r="G64" s="18">
        <f>(G62 / AVERAGE('V25'!G62,'V26'!G62,'V27'!G62,'V28'!G62,'V29'!G62,'V30'!G62,'V31'!G62,'V32'!G62,'V33'!G62,'V34'!G62,'V35'!G62,'V36'!G62)) * 100</f>
        <v>120.48845365056823</v>
      </c>
      <c r="H64" s="14">
        <f>IFERROR((G64*0.6)+(F64*0.4),"")</f>
        <v>120.17174615321771</v>
      </c>
    </row>
    <row r="65" spans="1:11">
      <c r="A65" s="1">
        <v>7</v>
      </c>
      <c r="C65" s="2" t="s">
        <v>59</v>
      </c>
      <c r="D65" s="2" t="s">
        <v>5</v>
      </c>
      <c r="E65" s="2" t="s">
        <v>6</v>
      </c>
      <c r="F65" s="2" t="s">
        <v>7</v>
      </c>
      <c r="G65" s="2" t="s">
        <v>8</v>
      </c>
      <c r="H65" s="2" t="s">
        <v>9</v>
      </c>
      <c r="I65" s="2" t="s">
        <v>10</v>
      </c>
      <c r="J65" s="2" t="s">
        <v>11</v>
      </c>
      <c r="K65" s="2" t="s">
        <v>12</v>
      </c>
    </row>
    <row r="66" spans="1:11">
      <c r="B66" s="6" t="s">
        <v>60</v>
      </c>
      <c r="C66" s="2" t="s">
        <v>61</v>
      </c>
      <c r="D66" s="5" t="s">
        <v>62</v>
      </c>
      <c r="E66" s="7">
        <v>131</v>
      </c>
      <c r="F66" s="7">
        <v>2719.56</v>
      </c>
      <c r="G66" s="7">
        <v>630.11</v>
      </c>
      <c r="H66" s="8">
        <f>IFERROR(G66/F66,"")</f>
        <v>0.23169556840077071</v>
      </c>
      <c r="I66" s="18">
        <f>IFERROR(((E66/$B$112) / AVERAGE('V25'!E66/'V25'!$B$112, 'V26'!E66/'V26'!$B$112, 'V27'!E66/'V27'!$B$112, 'V28'!E66/'V28'!$B$112, 'V29'!E66/'V29'!$B$112, 'V30'!E66/'V30'!$B$112, 'V31'!E66/'V31'!$B$112, 'V32'!E66/'V32'!$B$112, 'V33'!E66/'V33'!$B$112, 'V34'!E66/'V34'!$B$112, 'V35'!E66/'V35'!$B$112, 'V36'!E66/'V36'!$B$112)) * 100,"")</f>
        <v>115.62629605254769</v>
      </c>
      <c r="J66" s="18">
        <f>IFERROR(((F66/$B$112) / AVERAGE('V25'!F66/'V25'!$B$112, 'V26'!F66/'V26'!$B$112, 'V27'!F66/'V27'!$B$112, 'V28'!F66/'V28'!$B$112, 'V29'!F66/'V29'!$B$112, 'V30'!F66/'V30'!$B$112, 'V31'!F66/'V31'!$B$112, 'V32'!F66/'V32'!$B$112, 'V33'!F66/'V33'!$B$112, 'V34'!F66/'V34'!$B$112, 'V35'!F66/'V35'!$B$112, 'V36'!F66/'V36'!$B$112)) * 100,"")</f>
        <v>115.67853410151055</v>
      </c>
      <c r="K66" s="18">
        <f>IFERROR(((G66/$B$112) / AVERAGE('V25'!G66/'V25'!$B$112, 'V26'!G66/'V26'!$B$112, 'V27'!G66/'V27'!$B$112, 'V28'!G66/'V28'!$B$112, 'V29'!G66/'V29'!$B$112, 'V30'!G66/'V30'!$B$112, 'V31'!G66/'V31'!$B$112, 'V32'!G66/'V32'!$B$112, 'V33'!G66/'V33'!$B$112, 'V34'!G66/'V34'!$B$112, 'V35'!G66/'V35'!$B$112, 'V36'!G66/'V36'!$B$112)) * 100,"")</f>
        <v>115.85209417846045</v>
      </c>
    </row>
    <row r="67" spans="1:11">
      <c r="C67" s="2" t="s">
        <v>63</v>
      </c>
    </row>
    <row r="68" spans="1:11">
      <c r="C68" s="2" t="s">
        <v>64</v>
      </c>
    </row>
    <row r="69" spans="1:11">
      <c r="C69" s="2" t="s">
        <v>65</v>
      </c>
    </row>
    <row r="70" spans="1:11">
      <c r="C70" s="9" t="s">
        <v>19</v>
      </c>
      <c r="D70" s="10"/>
      <c r="E70" s="11">
        <f>SUM(E66:E69)</f>
        <v>131</v>
      </c>
      <c r="F70" s="11">
        <f>SUM(F66:F69)</f>
        <v>2719.56</v>
      </c>
      <c r="G70" s="11">
        <f>SUM(G66:G69)</f>
        <v>630.11</v>
      </c>
      <c r="H70" s="12">
        <f>IFERROR(G70/F70,"")</f>
        <v>0.23169556840077071</v>
      </c>
    </row>
    <row r="71" spans="1:11">
      <c r="B71" s="5" t="s">
        <v>20</v>
      </c>
      <c r="E71" s="16">
        <f>IFERROR((E70-('V36'!E70))/('V36'!E70),"")</f>
        <v>-5.7553956834532377E-2</v>
      </c>
      <c r="F71" s="16">
        <f>IFERROR((F70-('V36'!F70))/('V36'!F70),"")</f>
        <v>-5.7553956834532349E-2</v>
      </c>
      <c r="G71" s="16">
        <f>IFERROR((G70-('V36'!G70))/('V36'!G70),"")</f>
        <v>-5.7553956834532398E-2</v>
      </c>
      <c r="H71" s="16">
        <f>IFERROR(H70-('V36'!H70),"")</f>
        <v>-2.7755575615628914E-17</v>
      </c>
    </row>
    <row r="72" spans="1:11">
      <c r="B72" s="5" t="s">
        <v>21</v>
      </c>
      <c r="E72" s="13">
        <f>E70/$B$112</f>
        <v>8.1432212345372047E-3</v>
      </c>
      <c r="F72" s="13">
        <f>F70/$B$112</f>
        <v>0.16905327282899235</v>
      </c>
      <c r="G72" s="13">
        <f>G70/$B$112</f>
        <v>3.9168894138123952E-2</v>
      </c>
    </row>
    <row r="73" spans="1:11">
      <c r="B73" s="5" t="s">
        <v>22</v>
      </c>
      <c r="E73" s="8">
        <f>IFERROR((E72-'V36'!E72)/'V36'!E72,"")</f>
        <v>-0.10688195884518208</v>
      </c>
      <c r="F73" s="8">
        <f>IFERROR((F72-'V36'!F72)/'V36'!F72,"")</f>
        <v>-0.10688195884518224</v>
      </c>
      <c r="G73" s="8">
        <f>IFERROR((G72-'V36'!G72)/'V36'!G72,"")</f>
        <v>-0.10688195884518227</v>
      </c>
    </row>
    <row r="74" spans="1:11">
      <c r="B74" s="5" t="s">
        <v>23</v>
      </c>
      <c r="E74" s="18">
        <f>(E72 / AVERAGE('V25'!E72,'V26'!E72,'V27'!E72,'V28'!E72,'V29'!E72,'V30'!E72,'V31'!E72,'V32'!E72,'V33'!E72,'V34'!E72,'V35'!E72,'V36'!E72)) * 100</f>
        <v>115.62629605254769</v>
      </c>
      <c r="F74" s="18">
        <f>(F72 / AVERAGE('V25'!F72,'V26'!F72,'V27'!F72,'V28'!F72,'V29'!F72,'V30'!F72,'V31'!F72,'V32'!F72,'V33'!F72,'V34'!F72,'V35'!F72,'V36'!F72)) * 100</f>
        <v>115.67853410151055</v>
      </c>
      <c r="G74" s="18">
        <f>(G72 / AVERAGE('V25'!G72,'V26'!G72,'V27'!G72,'V28'!G72,'V29'!G72,'V30'!G72,'V31'!G72,'V32'!G72,'V33'!G72,'V34'!G72,'V35'!G72,'V36'!G72)) * 100</f>
        <v>115.85209417846045</v>
      </c>
      <c r="H74" s="14">
        <f>IFERROR((G74*0.6)+(F74*0.4),"")</f>
        <v>115.78267014768049</v>
      </c>
    </row>
    <row r="75" spans="1:11">
      <c r="A75" s="1">
        <v>8</v>
      </c>
      <c r="C75" s="2" t="s">
        <v>66</v>
      </c>
      <c r="D75" s="2" t="s">
        <v>5</v>
      </c>
      <c r="E75" s="2" t="s">
        <v>6</v>
      </c>
      <c r="F75" s="2" t="s">
        <v>7</v>
      </c>
      <c r="G75" s="2" t="s">
        <v>8</v>
      </c>
      <c r="H75" s="2" t="s">
        <v>9</v>
      </c>
      <c r="I75" s="2" t="s">
        <v>10</v>
      </c>
      <c r="J75" s="2" t="s">
        <v>11</v>
      </c>
      <c r="K75" s="2" t="s">
        <v>12</v>
      </c>
    </row>
    <row r="76" spans="1:11">
      <c r="B76" s="6" t="s">
        <v>126</v>
      </c>
      <c r="C76" s="2" t="s">
        <v>68</v>
      </c>
      <c r="D76" s="5" t="s">
        <v>127</v>
      </c>
      <c r="E76" s="7">
        <v>34</v>
      </c>
      <c r="F76" s="7">
        <v>1106.8399999999999</v>
      </c>
      <c r="G76" s="7">
        <v>239.84</v>
      </c>
      <c r="H76" s="8">
        <f>IFERROR(G76/F76,"")</f>
        <v>0.21668895233276717</v>
      </c>
      <c r="I76" s="18">
        <f>IFERROR(((E76/$B$112) / AVERAGE('V25'!E76/'V25'!$B$112, 'V26'!E76/'V26'!$B$112, 'V27'!E76/'V27'!$B$112, 'V28'!E76/'V28'!$B$112, 'V29'!E76/'V29'!$B$112, 'V30'!E76/'V30'!$B$112, 'V31'!E76/'V31'!$B$112, 'V32'!E76/'V32'!$B$112, 'V33'!E76/'V33'!$B$112, 'V34'!E76/'V34'!$B$112, 'V35'!E76/'V35'!$B$112, 'V36'!E76/'V36'!$B$112)) * 100,"")</f>
        <v>43.179377410828614</v>
      </c>
      <c r="J76" s="18">
        <f>IFERROR(((F76/$B$112) / AVERAGE('V25'!F76/'V25'!$B$112, 'V26'!F76/'V26'!$B$112, 'V27'!F76/'V27'!$B$112, 'V28'!F76/'V28'!$B$112, 'V29'!F76/'V29'!$B$112, 'V30'!F76/'V30'!$B$112, 'V31'!F76/'V31'!$B$112, 'V32'!F76/'V32'!$B$112, 'V33'!F76/'V33'!$B$112, 'V34'!F76/'V34'!$B$112, 'V35'!F76/'V35'!$B$112, 'V36'!F76/'V36'!$B$112)) * 100,"")</f>
        <v>58.579215031511801</v>
      </c>
      <c r="K76" s="18">
        <f>IFERROR(((G76/$B$112) / AVERAGE('V25'!G76/'V25'!$B$112, 'V26'!G76/'V26'!$B$112, 'V27'!G76/'V27'!$B$112, 'V28'!G76/'V28'!$B$112, 'V29'!G76/'V29'!$B$112, 'V30'!G76/'V30'!$B$112, 'V31'!G76/'V31'!$B$112, 'V32'!G76/'V32'!$B$112, 'V33'!G76/'V33'!$B$112, 'V34'!G76/'V34'!$B$112, 'V35'!G76/'V35'!$B$112, 'V36'!G76/'V36'!$B$112)) * 100,"")</f>
        <v>56.646629647686375</v>
      </c>
    </row>
    <row r="77" spans="1:11">
      <c r="C77" s="2" t="s">
        <v>70</v>
      </c>
    </row>
    <row r="78" spans="1:11">
      <c r="C78" s="2" t="s">
        <v>71</v>
      </c>
    </row>
    <row r="79" spans="1:11">
      <c r="C79" s="2" t="s">
        <v>72</v>
      </c>
    </row>
    <row r="80" spans="1:11">
      <c r="C80" s="9" t="s">
        <v>19</v>
      </c>
      <c r="D80" s="10"/>
      <c r="E80" s="11">
        <f>SUM(E76:E79)</f>
        <v>34</v>
      </c>
      <c r="F80" s="11">
        <f>SUM(F76:F79)</f>
        <v>1106.8399999999999</v>
      </c>
      <c r="G80" s="11">
        <f>SUM(G76:G79)</f>
        <v>239.84</v>
      </c>
      <c r="H80" s="12">
        <f>IFERROR(G80/F80,"")</f>
        <v>0.21668895233276717</v>
      </c>
    </row>
    <row r="81" spans="1:11">
      <c r="B81" s="5" t="s">
        <v>20</v>
      </c>
      <c r="E81" s="16">
        <f>IFERROR((E80-('V36'!E80))/('V36'!E80),"")</f>
        <v>-0.75539568345323738</v>
      </c>
      <c r="F81" s="16">
        <f>IFERROR((F80-('V36'!F80))/('V36'!F80),"")</f>
        <v>-0.6018561151079137</v>
      </c>
      <c r="G81" s="16">
        <f>IFERROR((G80-('V36'!G80))/('V36'!G80),"")</f>
        <v>-0.62489834219580853</v>
      </c>
      <c r="H81" s="16">
        <f>IFERROR(H80-('V36'!H80),"")</f>
        <v>-1.3311047667232817E-2</v>
      </c>
    </row>
    <row r="82" spans="1:11">
      <c r="B82" s="5" t="s">
        <v>21</v>
      </c>
      <c r="E82" s="13">
        <f>E80/$B$112</f>
        <v>2.1135078013302666E-3</v>
      </c>
      <c r="F82" s="13">
        <f>F80/$B$112</f>
        <v>6.8803381612482117E-2</v>
      </c>
      <c r="G82" s="13">
        <f>G80/$B$112</f>
        <v>1.4908932678560329E-2</v>
      </c>
    </row>
    <row r="83" spans="1:11">
      <c r="B83" s="5" t="s">
        <v>22</v>
      </c>
      <c r="E83" s="8">
        <f>IFERROR((E82-'V36'!E82)/'V36'!E82,"")</f>
        <v>-0.76819837099798627</v>
      </c>
      <c r="F83" s="8">
        <f>IFERROR((F82-'V36'!F82)/'V36'!F82,"")</f>
        <v>-0.62269512493442813</v>
      </c>
      <c r="G83" s="8">
        <f>IFERROR((G82-'V36'!G82)/'V36'!G82,"")</f>
        <v>-0.64453131266085051</v>
      </c>
    </row>
    <row r="84" spans="1:11">
      <c r="B84" s="5" t="s">
        <v>23</v>
      </c>
      <c r="E84" s="18">
        <f>(E82 / AVERAGE('V25'!E82,'V26'!E82,'V27'!E82,'V28'!E82,'V29'!E82,'V30'!E82,'V31'!E82,'V32'!E82,'V33'!E82,'V34'!E82,'V35'!E82,'V36'!E82)) * 100</f>
        <v>43.179377410828614</v>
      </c>
      <c r="F84" s="18">
        <f>(F82 / AVERAGE('V25'!F82,'V26'!F82,'V27'!F82,'V28'!F82,'V29'!F82,'V30'!F82,'V31'!F82,'V32'!F82,'V33'!F82,'V34'!F82,'V35'!F82,'V36'!F82)) * 100</f>
        <v>58.579215031511801</v>
      </c>
      <c r="G84" s="18">
        <f>(G82 / AVERAGE('V25'!G82,'V26'!G82,'V27'!G82,'V28'!G82,'V29'!G82,'V30'!G82,'V31'!G82,'V32'!G82,'V33'!G82,'V34'!G82,'V35'!G82,'V36'!G82)) * 100</f>
        <v>56.646629647686375</v>
      </c>
      <c r="H84" s="14">
        <f>IFERROR((G84*0.6)+(F84*0.4),"")</f>
        <v>57.419663801216544</v>
      </c>
    </row>
    <row r="85" spans="1:11">
      <c r="A85" s="1">
        <v>9</v>
      </c>
      <c r="C85" s="2" t="s">
        <v>73</v>
      </c>
      <c r="D85" s="2" t="s">
        <v>5</v>
      </c>
      <c r="E85" s="2" t="s">
        <v>6</v>
      </c>
      <c r="F85" s="2" t="s">
        <v>7</v>
      </c>
      <c r="G85" s="2" t="s">
        <v>8</v>
      </c>
      <c r="H85" s="2" t="s">
        <v>9</v>
      </c>
      <c r="I85" s="2" t="s">
        <v>10</v>
      </c>
      <c r="J85" s="2" t="s">
        <v>11</v>
      </c>
      <c r="K85" s="2" t="s">
        <v>12</v>
      </c>
    </row>
    <row r="86" spans="1:11">
      <c r="B86" s="6" t="s">
        <v>74</v>
      </c>
      <c r="C86" s="2" t="s">
        <v>75</v>
      </c>
      <c r="D86" s="5" t="s">
        <v>76</v>
      </c>
      <c r="E86" s="7">
        <v>227</v>
      </c>
      <c r="F86" s="7">
        <v>8172</v>
      </c>
      <c r="G86" s="7">
        <v>1366.54</v>
      </c>
      <c r="H86" s="8">
        <f>IFERROR(G86/F86,"")</f>
        <v>0.16722222222222222</v>
      </c>
      <c r="I86" s="18">
        <f>IFERROR(((E86/$B$112) / AVERAGE('V25'!E86/'V25'!$B$112, 'V26'!E86/'V26'!$B$112, 'V27'!E86/'V27'!$B$112, 'V28'!E86/'V28'!$B$112, 'V29'!E86/'V29'!$B$112, 'V30'!E86/'V30'!$B$112, 'V31'!E86/'V31'!$B$112, 'V32'!E86/'V32'!$B$112, 'V33'!E86/'V33'!$B$112, 'V34'!E86/'V34'!$B$112, 'V35'!E86/'V35'!$B$112, 'V36'!E86/'V36'!$B$112)) * 100,"")</f>
        <v>117.3351915308491</v>
      </c>
      <c r="J86" s="18">
        <f>IFERROR(((F86/$B$112) / AVERAGE('V25'!F86/'V25'!$B$112, 'V26'!F86/'V26'!$B$112, 'V27'!F86/'V27'!$B$112, 'V28'!F86/'V28'!$B$112, 'V29'!F86/'V29'!$B$112, 'V30'!F86/'V30'!$B$112, 'V31'!F86/'V31'!$B$112, 'V32'!F86/'V32'!$B$112, 'V33'!F86/'V33'!$B$112, 'V34'!F86/'V34'!$B$112, 'V35'!F86/'V35'!$B$112, 'V36'!F86/'V36'!$B$112)) * 100,"")</f>
        <v>117.34852526786999</v>
      </c>
      <c r="K86" s="18">
        <f>IFERROR(((G86/$B$112) / AVERAGE('V25'!G86/'V25'!$B$112, 'V26'!G86/'V26'!$B$112, 'V27'!G86/'V27'!$B$112, 'V28'!G86/'V28'!$B$112, 'V29'!G86/'V29'!$B$112, 'V30'!G86/'V30'!$B$112, 'V31'!G86/'V31'!$B$112, 'V32'!G86/'V32'!$B$112, 'V33'!G86/'V33'!$B$112, 'V34'!G86/'V34'!$B$112, 'V35'!G86/'V35'!$B$112, 'V36'!G86/'V36'!$B$112)) * 100,"")</f>
        <v>116.66042613944371</v>
      </c>
    </row>
    <row r="87" spans="1:11">
      <c r="C87" s="2" t="s">
        <v>77</v>
      </c>
    </row>
    <row r="88" spans="1:11">
      <c r="C88" s="2" t="s">
        <v>78</v>
      </c>
    </row>
    <row r="89" spans="1:11">
      <c r="C89" s="2" t="s">
        <v>79</v>
      </c>
    </row>
    <row r="90" spans="1:11">
      <c r="C90" s="9" t="s">
        <v>19</v>
      </c>
      <c r="D90" s="10"/>
      <c r="E90" s="11">
        <f>SUM(E86:E89)</f>
        <v>227</v>
      </c>
      <c r="F90" s="11">
        <f>SUM(F86:F89)</f>
        <v>8172</v>
      </c>
      <c r="G90" s="11">
        <f>SUM(G86:G89)</f>
        <v>1366.54</v>
      </c>
      <c r="H90" s="12">
        <f>IFERROR(G90/F90,"")</f>
        <v>0.16722222222222222</v>
      </c>
    </row>
    <row r="91" spans="1:11">
      <c r="B91" s="5" t="s">
        <v>20</v>
      </c>
      <c r="E91" s="16">
        <f>IFERROR((E90-('V36'!E90))/('V36'!E90),"")</f>
        <v>0.12935323383084577</v>
      </c>
      <c r="F91" s="16">
        <f>IFERROR((F90-('V36'!F90))/('V36'!F90),"")</f>
        <v>0.12963423737248075</v>
      </c>
      <c r="G91" s="16">
        <f>IFERROR((G90-('V36'!G90))/('V36'!G90),"")</f>
        <v>0.13103573852444086</v>
      </c>
      <c r="H91" s="16">
        <f>IFERROR(H90-('V36'!H90),"")</f>
        <v>2.0721019601335766E-4</v>
      </c>
    </row>
    <row r="92" spans="1:11">
      <c r="B92" s="5" t="s">
        <v>21</v>
      </c>
      <c r="E92" s="13">
        <f>E90/$B$112</f>
        <v>1.4110772673587369E-2</v>
      </c>
      <c r="F92" s="13">
        <f>F90/$B$112</f>
        <v>0.50798781624914524</v>
      </c>
      <c r="G92" s="13">
        <f>G90/$B$112</f>
        <v>8.4946851494995951E-2</v>
      </c>
    </row>
    <row r="93" spans="1:11">
      <c r="B93" s="5" t="s">
        <v>22</v>
      </c>
      <c r="E93" s="8">
        <f>IFERROR((E92-'V36'!E92)/'V36'!E92,"")</f>
        <v>7.0242434869847895E-2</v>
      </c>
      <c r="F93" s="8">
        <f>IFERROR((F92-'V36'!F92)/'V36'!F92,"")</f>
        <v>7.0508730573970738E-2</v>
      </c>
      <c r="G93" s="8">
        <f>IFERROR((G92-'V36'!G92)/'V36'!G92,"")</f>
        <v>7.183687659632626E-2</v>
      </c>
    </row>
    <row r="94" spans="1:11">
      <c r="B94" s="5" t="s">
        <v>23</v>
      </c>
      <c r="E94" s="18">
        <f>(E92 / AVERAGE('V25'!E92,'V26'!E92,'V27'!E92,'V28'!E92,'V29'!E92,'V30'!E92,'V31'!E92,'V32'!E92,'V33'!E92,'V34'!E92,'V35'!E92,'V36'!E92)) * 100</f>
        <v>117.3351915308491</v>
      </c>
      <c r="F94" s="18">
        <f>(F92 / AVERAGE('V25'!F92,'V26'!F92,'V27'!F92,'V28'!F92,'V29'!F92,'V30'!F92,'V31'!F92,'V32'!F92,'V33'!F92,'V34'!F92,'V35'!F92,'V36'!F92)) * 100</f>
        <v>117.34852526786999</v>
      </c>
      <c r="G94" s="18">
        <f>(G92 / AVERAGE('V25'!G92,'V26'!G92,'V27'!G92,'V28'!G92,'V29'!G92,'V30'!G92,'V31'!G92,'V32'!G92,'V33'!G92,'V34'!G92,'V35'!G92,'V36'!G92)) * 100</f>
        <v>116.66042613944371</v>
      </c>
      <c r="H94" s="14">
        <f>IFERROR((G94*0.6)+(F94*0.4),"")</f>
        <v>116.93566579081423</v>
      </c>
    </row>
    <row r="95" spans="1:11">
      <c r="A95" s="1">
        <v>10</v>
      </c>
      <c r="C95" s="2" t="s">
        <v>80</v>
      </c>
      <c r="D95" s="2" t="s">
        <v>5</v>
      </c>
      <c r="E95" s="2" t="s">
        <v>6</v>
      </c>
      <c r="F95" s="2" t="s">
        <v>7</v>
      </c>
      <c r="G95" s="2" t="s">
        <v>8</v>
      </c>
      <c r="H95" s="2" t="s">
        <v>9</v>
      </c>
      <c r="I95" s="2" t="s">
        <v>10</v>
      </c>
      <c r="J95" s="2" t="s">
        <v>11</v>
      </c>
      <c r="K95" s="2" t="s">
        <v>12</v>
      </c>
    </row>
    <row r="96" spans="1:11">
      <c r="B96" s="6" t="s">
        <v>81</v>
      </c>
      <c r="C96" s="2" t="s">
        <v>82</v>
      </c>
      <c r="D96" s="5" t="s">
        <v>83</v>
      </c>
      <c r="E96" s="7">
        <v>274</v>
      </c>
      <c r="F96" s="7">
        <v>9862.2000000000007</v>
      </c>
      <c r="G96" s="7">
        <v>1647.68</v>
      </c>
      <c r="H96" s="8">
        <f>IFERROR(G96/F96,"")</f>
        <v>0.16707022773823285</v>
      </c>
      <c r="I96" s="18">
        <f>IFERROR(((E96/$B$112) / AVERAGE('V25'!E96/'V25'!$B$112, 'V26'!E96/'V26'!$B$112, 'V27'!E96/'V27'!$B$112, 'V28'!E96/'V28'!$B$112, 'V29'!E96/'V29'!$B$112, 'V30'!E96/'V30'!$B$112, 'V31'!E96/'V31'!$B$112, 'V32'!E96/'V32'!$B$112, 'V33'!E96/'V33'!$B$112, 'V34'!E96/'V34'!$B$112, 'V35'!E96/'V35'!$B$112, 'V36'!E96/'V36'!$B$112)) * 100,"")</f>
        <v>120.43272099293409</v>
      </c>
      <c r="J96" s="18">
        <f>IFERROR(((F96/$B$112) / AVERAGE('V25'!F96/'V25'!$B$112, 'V26'!F96/'V26'!$B$112, 'V27'!F96/'V27'!$B$112, 'V28'!F96/'V28'!$B$112, 'V29'!F96/'V29'!$B$112, 'V30'!F96/'V30'!$B$112, 'V31'!F96/'V31'!$B$112, 'V32'!F96/'V32'!$B$112, 'V33'!F96/'V33'!$B$112, 'V34'!F96/'V34'!$B$112, 'V35'!F96/'V35'!$B$112, 'V36'!F96/'V36'!$B$112)) * 100,"")</f>
        <v>120.43060781710186</v>
      </c>
      <c r="K96" s="18">
        <f>IFERROR(((G96/$B$112) / AVERAGE('V25'!G96/'V25'!$B$112, 'V26'!G96/'V26'!$B$112, 'V27'!G96/'V27'!$B$112, 'V28'!G96/'V28'!$B$112, 'V29'!G96/'V29'!$B$112, 'V30'!G96/'V30'!$B$112, 'V31'!G96/'V31'!$B$112, 'V32'!G96/'V32'!$B$112, 'V33'!G96/'V33'!$B$112, 'V34'!G96/'V34'!$B$112, 'V35'!G96/'V35'!$B$112, 'V36'!G96/'V36'!$B$112)) * 100,"")</f>
        <v>119.85572161514631</v>
      </c>
    </row>
    <row r="97" spans="2:8">
      <c r="C97" s="2" t="s">
        <v>84</v>
      </c>
    </row>
    <row r="98" spans="2:8">
      <c r="C98" s="2" t="s">
        <v>85</v>
      </c>
    </row>
    <row r="99" spans="2:8">
      <c r="C99" s="2" t="s">
        <v>86</v>
      </c>
    </row>
    <row r="100" spans="2:8">
      <c r="C100" s="9" t="s">
        <v>19</v>
      </c>
      <c r="D100" s="10"/>
      <c r="E100" s="11">
        <f>SUM(E96:E99)</f>
        <v>274</v>
      </c>
      <c r="F100" s="11">
        <f>SUM(F96:F99)</f>
        <v>9862.2000000000007</v>
      </c>
      <c r="G100" s="11">
        <f>SUM(G96:G99)</f>
        <v>1647.68</v>
      </c>
      <c r="H100" s="12">
        <f>IFERROR(G100/F100,"")</f>
        <v>0.16707022773823285</v>
      </c>
    </row>
    <row r="101" spans="2:8">
      <c r="B101" s="5" t="s">
        <v>20</v>
      </c>
      <c r="E101" s="16">
        <f>IFERROR((E100-('V36'!E100))/('V36'!E100),"")</f>
        <v>0.25114155251141551</v>
      </c>
      <c r="F101" s="16">
        <f>IFERROR((F100-('V36'!F100))/('V36'!F100),"")</f>
        <v>0.25091324200913251</v>
      </c>
      <c r="G101" s="16">
        <f>IFERROR((G100-('V36'!G100))/('V36'!G100),"")</f>
        <v>0.24977624053762945</v>
      </c>
      <c r="H101" s="16">
        <f>IFERROR(H100-('V36'!H100),"")</f>
        <v>-1.5199448398939275E-4</v>
      </c>
    </row>
    <row r="102" spans="2:8">
      <c r="B102" s="5" t="s">
        <v>21</v>
      </c>
      <c r="E102" s="13">
        <f>E100/$B$112</f>
        <v>1.7032386398955678E-2</v>
      </c>
      <c r="F102" s="13">
        <f>F100/$B$112</f>
        <v>0.61305401877292232</v>
      </c>
      <c r="G102" s="13">
        <f>G100/$B$112</f>
        <v>0.102423074532231</v>
      </c>
    </row>
    <row r="103" spans="2:8">
      <c r="B103" s="5" t="s">
        <v>22</v>
      </c>
      <c r="E103" s="8">
        <f>IFERROR((E102-'V36'!E102)/'V36'!E102,"")</f>
        <v>0.18565630434739414</v>
      </c>
      <c r="F103" s="8">
        <f>IFERROR((F102-'V36'!F102)/'V36'!F102,"")</f>
        <v>0.18543994370791475</v>
      </c>
      <c r="G103" s="8">
        <f>IFERROR((G102-'V36'!G102)/'V36'!G102,"")</f>
        <v>0.18436245334718476</v>
      </c>
    </row>
    <row r="104" spans="2:8">
      <c r="B104" s="5" t="s">
        <v>23</v>
      </c>
      <c r="E104" s="18">
        <f>(E102 / AVERAGE('V25'!E102,'V26'!E102,'V27'!E102,'V28'!E102,'V29'!E102,'V30'!E102,'V31'!E102,'V32'!E102,'V33'!E102,'V34'!E102,'V35'!E102,'V36'!E102)) * 100</f>
        <v>120.43272099293409</v>
      </c>
      <c r="F104" s="18">
        <f>(F102 / AVERAGE('V25'!F102,'V26'!F102,'V27'!F102,'V28'!F102,'V29'!F102,'V30'!F102,'V31'!F102,'V32'!F102,'V33'!F102,'V34'!F102,'V35'!F102,'V36'!F102)) * 100</f>
        <v>120.43060781710186</v>
      </c>
      <c r="G104" s="18">
        <f>(G102 / AVERAGE('V25'!G102,'V26'!G102,'V27'!G102,'V28'!G102,'V29'!G102,'V30'!G102,'V31'!G102,'V32'!G102,'V33'!G102,'V34'!G102,'V35'!G102,'V36'!G102)) * 100</f>
        <v>119.85572161514631</v>
      </c>
      <c r="H104" s="14">
        <f>IFERROR((G104*0.6)+(F104*0.4),"")</f>
        <v>120.08567609592853</v>
      </c>
    </row>
    <row r="106" spans="2:8">
      <c r="B106" s="2" t="s">
        <v>87</v>
      </c>
      <c r="E106" s="15">
        <f>E10+E20+E30+E40+E50+E60+E70+E80+E90+E100</f>
        <v>2338</v>
      </c>
      <c r="F106" s="15">
        <f>F10+F20+F30+F40+F50+F60+F70+F80+F90+F100</f>
        <v>74696.539999999994</v>
      </c>
      <c r="G106" s="15">
        <f>G10+G20+G30+G40+G50+G60+G70+G80+G90+G100</f>
        <v>15267.600000000002</v>
      </c>
      <c r="H106" s="16">
        <f>IFERROR(G106/F106,"")</f>
        <v>0.20439500946094696</v>
      </c>
    </row>
    <row r="107" spans="2:8">
      <c r="B107" s="5" t="s">
        <v>88</v>
      </c>
      <c r="E107" s="16">
        <f>IFERROR((E106-'V36'!E106)/'V36'!E106,"")</f>
        <v>9.9352051835853127E-3</v>
      </c>
      <c r="F107" s="16">
        <f>IFERROR((F106-'V36'!F106)/'V36'!F106,"")</f>
        <v>-5.2956990337938964E-2</v>
      </c>
      <c r="G107" s="16">
        <f>IFERROR((G106-'V36'!G106)/'V36'!G106,"")</f>
        <v>3.2729201135842524E-2</v>
      </c>
      <c r="H107" s="16">
        <f>IFERROR(H106-'V36'!H106,"")</f>
        <v>1.69587825130669E-2</v>
      </c>
    </row>
    <row r="108" spans="2:8">
      <c r="B108" s="5" t="s">
        <v>21</v>
      </c>
      <c r="E108" s="13">
        <f>E106/$B$112</f>
        <v>0.14533474233853422</v>
      </c>
      <c r="F108" s="13">
        <f>F106/$B$112</f>
        <v>4.643285883011127</v>
      </c>
      <c r="G108" s="13">
        <f>G106/$B$112</f>
        <v>0.9490644619879407</v>
      </c>
    </row>
    <row r="109" spans="2:8">
      <c r="B109" s="5" t="s">
        <v>22</v>
      </c>
      <c r="E109" s="8">
        <f>IFERROR((E108-'V36'!E108)/'V36'!E108,"")</f>
        <v>-4.2925206500667792E-2</v>
      </c>
      <c r="F109" s="8">
        <f>IFERROR((F108-'V36'!F108)/'V36'!F108,"")</f>
        <v>-0.10252559940957788</v>
      </c>
      <c r="G109" s="8">
        <f>IFERROR((G108-'V36'!G108)/'V36'!G108,"")</f>
        <v>-2.132425739317963E-2</v>
      </c>
    </row>
    <row r="110" spans="2:8">
      <c r="B110" s="5" t="s">
        <v>23</v>
      </c>
      <c r="E110" s="18">
        <f>IFERROR((E108 / AVERAGE('V25'!E108,'V26'!E108,'V27'!E108,'V28'!E108,'V29'!E108,'V30'!E108,'V31'!E108,'V32'!E108,'V33'!E108,'V34'!E108,'V35'!E108,'V36'!E108)) * 100,"")</f>
        <v>106.8317493023025</v>
      </c>
      <c r="F110" s="18">
        <f>IFERROR((F108 / AVERAGE('V25'!F108,'V26'!F108,'V27'!F108,'V28'!F108,'V29'!F108,'V30'!F108,'V31'!F108,'V32'!F108,'V33'!F108,'V34'!F108,'V35'!F108,'V36'!F108)) * 100,"")</f>
        <v>100.77542983752559</v>
      </c>
      <c r="G110" s="18">
        <f>IFERROR((G108 / AVERAGE('V25'!G108,'V26'!G108,'V27'!G108,'V28'!G108,'V29'!G108,'V30'!G108,'V31'!G108,'V32'!G108,'V33'!G108,'V34'!G108,'V35'!G108,'V36'!G108)) * 100,"")</f>
        <v>113.35602373892742</v>
      </c>
      <c r="H110" s="14">
        <f>IFERROR((G110*0.6)+(F110*0.4),"")</f>
        <v>108.32378617836667</v>
      </c>
    </row>
    <row r="111" spans="2:8">
      <c r="B111" s="5" t="s">
        <v>89</v>
      </c>
      <c r="C111" s="5" t="s">
        <v>90</v>
      </c>
      <c r="D111" s="5" t="s">
        <v>91</v>
      </c>
    </row>
    <row r="112" spans="2:8">
      <c r="B112" s="17">
        <v>16087</v>
      </c>
      <c r="C112" s="17">
        <f>B112-'V36'!$B$112</f>
        <v>842</v>
      </c>
      <c r="D112" s="19">
        <f>C112/'V36'!$B$112</f>
        <v>5.5231223351918664E-2</v>
      </c>
    </row>
  </sheetData>
  <conditionalFormatting sqref="E11:G11">
    <cfRule type="cellIs" dxfId="131" priority="1" operator="lessThan">
      <formula>0</formula>
    </cfRule>
    <cfRule type="cellIs" dxfId="130" priority="2" operator="greaterThan">
      <formula>0</formula>
    </cfRule>
  </conditionalFormatting>
  <conditionalFormatting sqref="E21:G21">
    <cfRule type="cellIs" dxfId="129" priority="3" operator="lessThan">
      <formula>0</formula>
    </cfRule>
    <cfRule type="cellIs" dxfId="128" priority="4" operator="greaterThan">
      <formula>0</formula>
    </cfRule>
  </conditionalFormatting>
  <conditionalFormatting sqref="E31:G31">
    <cfRule type="cellIs" dxfId="127" priority="5" operator="lessThan">
      <formula>0</formula>
    </cfRule>
    <cfRule type="cellIs" dxfId="126" priority="6" operator="greaterThan">
      <formula>0</formula>
    </cfRule>
  </conditionalFormatting>
  <conditionalFormatting sqref="E41:G41">
    <cfRule type="cellIs" dxfId="125" priority="7" operator="lessThan">
      <formula>0</formula>
    </cfRule>
    <cfRule type="cellIs" dxfId="124" priority="8" operator="greaterThan">
      <formula>0</formula>
    </cfRule>
  </conditionalFormatting>
  <conditionalFormatting sqref="E51:G51">
    <cfRule type="cellIs" dxfId="123" priority="9" operator="lessThan">
      <formula>0</formula>
    </cfRule>
    <cfRule type="cellIs" dxfId="122" priority="10" operator="greaterThan">
      <formula>0</formula>
    </cfRule>
  </conditionalFormatting>
  <conditionalFormatting sqref="E61:G61">
    <cfRule type="cellIs" dxfId="121" priority="11" operator="lessThan">
      <formula>0</formula>
    </cfRule>
    <cfRule type="cellIs" dxfId="120" priority="12" operator="greaterThan">
      <formula>0</formula>
    </cfRule>
  </conditionalFormatting>
  <conditionalFormatting sqref="E71:G71">
    <cfRule type="cellIs" dxfId="119" priority="13" operator="lessThan">
      <formula>0</formula>
    </cfRule>
    <cfRule type="cellIs" dxfId="118" priority="14" operator="greaterThan">
      <formula>0</formula>
    </cfRule>
  </conditionalFormatting>
  <conditionalFormatting sqref="E81:G81">
    <cfRule type="cellIs" dxfId="117" priority="15" operator="lessThan">
      <formula>0</formula>
    </cfRule>
    <cfRule type="cellIs" dxfId="116" priority="16" operator="greaterThan">
      <formula>0</formula>
    </cfRule>
  </conditionalFormatting>
  <conditionalFormatting sqref="E91:G91">
    <cfRule type="cellIs" dxfId="115" priority="17" operator="lessThan">
      <formula>0</formula>
    </cfRule>
    <cfRule type="cellIs" dxfId="114" priority="18" operator="greaterThan">
      <formula>0</formula>
    </cfRule>
  </conditionalFormatting>
  <conditionalFormatting sqref="E101:G101">
    <cfRule type="cellIs" dxfId="113" priority="19" operator="lessThan">
      <formula>0</formula>
    </cfRule>
    <cfRule type="cellIs" dxfId="112" priority="20" operator="greaterThan">
      <formula>0</formula>
    </cfRule>
  </conditionalFormatting>
  <conditionalFormatting sqref="E107:G107">
    <cfRule type="cellIs" dxfId="111" priority="21" operator="lessThan">
      <formula>0</formula>
    </cfRule>
    <cfRule type="cellIs" dxfId="110" priority="22" operator="greaterThan">
      <formula>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112"/>
  <sheetViews>
    <sheetView zoomScaleNormal="100" zoomScaleSheetLayoutView="100" workbookViewId="0"/>
  </sheetViews>
  <sheetFormatPr defaultRowHeight="15"/>
  <cols>
    <col min="2" max="2" width="16" customWidth="1"/>
    <col min="4" max="4" width="26" customWidth="1"/>
    <col min="5" max="5" width="10" customWidth="1"/>
    <col min="6" max="7" width="12" customWidth="1"/>
    <col min="8" max="8" width="10" customWidth="1"/>
    <col min="9" max="11" width="12" customWidth="1"/>
  </cols>
  <sheetData>
    <row r="1" spans="1:11">
      <c r="A1" s="1" t="s">
        <v>0</v>
      </c>
    </row>
    <row r="3" spans="1:11">
      <c r="C3" s="2" t="s">
        <v>128</v>
      </c>
    </row>
    <row r="4" spans="1:11">
      <c r="C4" s="3" t="s">
        <v>129</v>
      </c>
      <c r="I4" s="4">
        <v>38</v>
      </c>
      <c r="J4" s="5" t="s">
        <v>3</v>
      </c>
    </row>
    <row r="5" spans="1:11">
      <c r="A5" s="1">
        <v>1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</row>
    <row r="6" spans="1:11">
      <c r="B6" s="6" t="s">
        <v>104</v>
      </c>
      <c r="C6" s="2" t="s">
        <v>14</v>
      </c>
      <c r="D6" s="5" t="s">
        <v>105</v>
      </c>
      <c r="E6" s="7">
        <v>154</v>
      </c>
      <c r="F6" s="7">
        <v>12196.8</v>
      </c>
      <c r="G6" s="7">
        <v>2681.52</v>
      </c>
      <c r="H6" s="8">
        <f>IFERROR(G6/F6,"")</f>
        <v>0.21985438803620622</v>
      </c>
      <c r="I6" s="18">
        <f>IFERROR(((E6/$B$112) / AVERAGE('V25'!E6/'V25'!$B$112, 'V26'!E6/'V26'!$B$112, 'V27'!E6/'V27'!$B$112, 'V28'!E6/'V28'!$B$112, 'V29'!E6/'V29'!$B$112, 'V30'!E6/'V30'!$B$112, 'V31'!E6/'V31'!$B$112, 'V32'!E6/'V32'!$B$112, 'V33'!E6/'V33'!$B$112, 'V34'!E6/'V34'!$B$112, 'V35'!E6/'V35'!$B$112, 'V36'!E6/'V36'!$B$112, 'V37'!E6/'V37'!$B$112)) * 100,"")</f>
        <v>105.93456806763648</v>
      </c>
      <c r="J6" s="18">
        <f>IFERROR(((F6/$B$112) / AVERAGE('V25'!F6/'V25'!$B$112, 'V26'!F6/'V26'!$B$112, 'V27'!F6/'V27'!$B$112, 'V28'!F6/'V28'!$B$112, 'V29'!F6/'V29'!$B$112, 'V30'!F6/'V30'!$B$112, 'V31'!F6/'V31'!$B$112, 'V32'!F6/'V32'!$B$112, 'V33'!F6/'V33'!$B$112, 'V34'!F6/'V34'!$B$112, 'V35'!F6/'V35'!$B$112, 'V36'!F6/'V36'!$B$112, 'V37'!F6/'V37'!$B$112)) * 100,"")</f>
        <v>113.22624426116113</v>
      </c>
      <c r="K6" s="18">
        <f>IFERROR(((G6/$B$112) / AVERAGE('V25'!G6/'V25'!$B$112, 'V26'!G6/'V26'!$B$112, 'V27'!G6/'V27'!$B$112, 'V28'!G6/'V28'!$B$112, 'V29'!G6/'V29'!$B$112, 'V30'!G6/'V30'!$B$112, 'V31'!G6/'V31'!$B$112, 'V32'!G6/'V32'!$B$112, 'V33'!G6/'V33'!$B$112, 'V34'!G6/'V34'!$B$112, 'V35'!G6/'V35'!$B$112, 'V36'!G6/'V36'!$B$112, 'V37'!G6/'V37'!$B$112)) * 100,"")</f>
        <v>113.64086677275003</v>
      </c>
    </row>
    <row r="7" spans="1:11">
      <c r="C7" s="2" t="s">
        <v>16</v>
      </c>
    </row>
    <row r="8" spans="1:11">
      <c r="C8" s="2" t="s">
        <v>17</v>
      </c>
    </row>
    <row r="9" spans="1:11">
      <c r="C9" s="2" t="s">
        <v>18</v>
      </c>
    </row>
    <row r="10" spans="1:11">
      <c r="C10" s="9" t="s">
        <v>19</v>
      </c>
      <c r="D10" s="10"/>
      <c r="E10" s="11">
        <f>SUM(E6:E9)</f>
        <v>154</v>
      </c>
      <c r="F10" s="11">
        <f>SUM(F6:F9)</f>
        <v>12196.8</v>
      </c>
      <c r="G10" s="11">
        <f>SUM(G6:G9)</f>
        <v>2681.52</v>
      </c>
      <c r="H10" s="12">
        <f>IFERROR(G10/F10,"")</f>
        <v>0.21985438803620622</v>
      </c>
    </row>
    <row r="11" spans="1:11">
      <c r="B11" s="5" t="s">
        <v>20</v>
      </c>
      <c r="E11" s="16">
        <f>IFERROR((E10-('V37'!E10))/('V37'!E10),"")</f>
        <v>0.25203252032520324</v>
      </c>
      <c r="F11" s="16">
        <f>IFERROR((F10-('V37'!F10))/('V37'!F10),"")</f>
        <v>0.25203252032520312</v>
      </c>
      <c r="G11" s="16">
        <f>IFERROR((G10-('V37'!G10))/('V37'!G10),"")</f>
        <v>0.2594439982528074</v>
      </c>
      <c r="H11" s="16">
        <f>IFERROR(H10-('V37'!H10),"")</f>
        <v>1.2937819756001501E-3</v>
      </c>
    </row>
    <row r="12" spans="1:11">
      <c r="B12" s="5" t="s">
        <v>21</v>
      </c>
      <c r="E12" s="13">
        <f>E10/$B$112</f>
        <v>7.9734907321114216E-3</v>
      </c>
      <c r="F12" s="13">
        <f>F10/$B$112</f>
        <v>0.63150046598322451</v>
      </c>
      <c r="G12" s="13">
        <f>G10/$B$112</f>
        <v>0.13883814849332091</v>
      </c>
    </row>
    <row r="13" spans="1:11">
      <c r="B13" s="5" t="s">
        <v>22</v>
      </c>
      <c r="E13" s="8">
        <f>IFERROR((E12-'V37'!E12)/'V37'!E12,"")</f>
        <v>4.2841832581109282E-2</v>
      </c>
      <c r="F13" s="8">
        <f>IFERROR((F12-'V37'!F12)/'V37'!F12,"")</f>
        <v>4.2841832581109046E-2</v>
      </c>
      <c r="G13" s="8">
        <f>IFERROR((G12-'V37'!G12)/'V37'!G12,"")</f>
        <v>4.9014994299105011E-2</v>
      </c>
    </row>
    <row r="14" spans="1:11">
      <c r="B14" s="5" t="s">
        <v>23</v>
      </c>
      <c r="E14" s="18">
        <f>(E12 / AVERAGE('V25'!E12,'V26'!E12,'V27'!E12,'V28'!E12,'V29'!E12,'V30'!E12,'V31'!E12,'V32'!E12,'V33'!E12,'V34'!E12,'V35'!E12,'V36'!E12,'V37'!E12)) * 100</f>
        <v>105.93456806763648</v>
      </c>
      <c r="F14" s="18">
        <f>(F12 / AVERAGE('V25'!F12,'V26'!F12,'V27'!F12,'V28'!F12,'V29'!F12,'V30'!F12,'V31'!F12,'V32'!F12,'V33'!F12,'V34'!F12,'V35'!F12,'V36'!F12,'V37'!F12)) * 100</f>
        <v>113.22624426116113</v>
      </c>
      <c r="G14" s="18">
        <f>(G12 / AVERAGE('V25'!G12,'V26'!G12,'V27'!G12,'V28'!G12,'V29'!G12,'V30'!G12,'V31'!G12,'V32'!G12,'V33'!G12,'V34'!G12,'V35'!G12,'V36'!G12,'V37'!G12)) * 100</f>
        <v>113.64086677275003</v>
      </c>
      <c r="H14" s="14">
        <f>IFERROR((G14*0.6)+(F14*0.4),"")</f>
        <v>113.47501776811447</v>
      </c>
    </row>
    <row r="15" spans="1:11">
      <c r="A15" s="1">
        <v>2</v>
      </c>
      <c r="C15" s="2" t="s">
        <v>24</v>
      </c>
      <c r="D15" s="2" t="s">
        <v>5</v>
      </c>
      <c r="E15" s="2" t="s">
        <v>6</v>
      </c>
      <c r="F15" s="2" t="s">
        <v>7</v>
      </c>
      <c r="G15" s="2" t="s">
        <v>8</v>
      </c>
      <c r="H15" s="2" t="s">
        <v>9</v>
      </c>
      <c r="I15" s="2" t="s">
        <v>10</v>
      </c>
      <c r="J15" s="2" t="s">
        <v>11</v>
      </c>
      <c r="K15" s="2" t="s">
        <v>12</v>
      </c>
    </row>
    <row r="16" spans="1:11">
      <c r="B16" s="6" t="s">
        <v>25</v>
      </c>
      <c r="C16" s="2" t="s">
        <v>26</v>
      </c>
      <c r="D16" s="5" t="s">
        <v>27</v>
      </c>
      <c r="E16" s="7">
        <v>277</v>
      </c>
      <c r="F16" s="7">
        <v>5169.12</v>
      </c>
      <c r="G16" s="7">
        <v>1204.5899999999999</v>
      </c>
      <c r="H16" s="8">
        <f>IFERROR(G16/F16,"")</f>
        <v>0.23303579719565418</v>
      </c>
      <c r="I16" s="18">
        <f>IFERROR(((E16/$B$112) / AVERAGE('V25'!E16/'V25'!$B$112, 'V26'!E16/'V26'!$B$112, 'V27'!E16/'V27'!$B$112, 'V28'!E16/'V28'!$B$112, 'V29'!E16/'V29'!$B$112, 'V30'!E16/'V30'!$B$112, 'V31'!E16/'V31'!$B$112, 'V32'!E16/'V32'!$B$112, 'V33'!E16/'V33'!$B$112, 'V34'!E16/'V34'!$B$112, 'V35'!E16/'V35'!$B$112, 'V36'!E16/'V36'!$B$112, 'V37'!E16/'V37'!$B$112)) * 100,"")</f>
        <v>134.07459234959822</v>
      </c>
      <c r="J16" s="18">
        <f>IFERROR(((F16/$B$112) / AVERAGE('V25'!F16/'V25'!$B$112, 'V26'!F16/'V26'!$B$112, 'V27'!F16/'V27'!$B$112, 'V28'!F16/'V28'!$B$112, 'V29'!F16/'V29'!$B$112, 'V30'!F16/'V30'!$B$112, 'V31'!F16/'V31'!$B$112, 'V32'!F16/'V32'!$B$112, 'V33'!F16/'V33'!$B$112, 'V34'!F16/'V34'!$B$112, 'V35'!F16/'V35'!$B$112, 'V36'!F16/'V36'!$B$112, 'V37'!F16/'V37'!$B$112)) * 100,"")</f>
        <v>138.31394024022396</v>
      </c>
      <c r="K16" s="18">
        <f>IFERROR(((G16/$B$112) / AVERAGE('V25'!G16/'V25'!$B$112, 'V26'!G16/'V26'!$B$112, 'V27'!G16/'V27'!$B$112, 'V28'!G16/'V28'!$B$112, 'V29'!G16/'V29'!$B$112, 'V30'!G16/'V30'!$B$112, 'V31'!G16/'V31'!$B$112, 'V32'!G16/'V32'!$B$112, 'V33'!G16/'V33'!$B$112, 'V34'!G16/'V34'!$B$112, 'V35'!G16/'V35'!$B$112, 'V36'!G16/'V36'!$B$112, 'V37'!G16/'V37'!$B$112)) * 100,"")</f>
        <v>189.44138621139064</v>
      </c>
    </row>
    <row r="17" spans="1:11">
      <c r="C17" s="2" t="s">
        <v>28</v>
      </c>
    </row>
    <row r="18" spans="1:11">
      <c r="C18" s="2" t="s">
        <v>29</v>
      </c>
    </row>
    <row r="19" spans="1:11">
      <c r="C19" s="2" t="s">
        <v>30</v>
      </c>
    </row>
    <row r="20" spans="1:11">
      <c r="C20" s="9" t="s">
        <v>19</v>
      </c>
      <c r="D20" s="10"/>
      <c r="E20" s="11">
        <f>SUM(E16:E19)</f>
        <v>277</v>
      </c>
      <c r="F20" s="11">
        <f>SUM(F16:F19)</f>
        <v>5169.12</v>
      </c>
      <c r="G20" s="11">
        <f>SUM(G16:G19)</f>
        <v>1204.5899999999999</v>
      </c>
      <c r="H20" s="12">
        <f>IFERROR(G20/F20,"")</f>
        <v>0.23303579719565418</v>
      </c>
    </row>
    <row r="21" spans="1:11">
      <c r="B21" s="5" t="s">
        <v>20</v>
      </c>
      <c r="E21" s="16">
        <f>IFERROR((E20-('V37'!E20))/('V37'!E20),"")</f>
        <v>0.37128712871287128</v>
      </c>
      <c r="F21" s="16">
        <f>IFERROR((F20-('V37'!F20))/('V37'!F20),"")</f>
        <v>0.60336484776297172</v>
      </c>
      <c r="G21" s="16">
        <f>IFERROR((G20-('V37'!G20))/('V37'!G20),"")</f>
        <v>1.9668242943697354</v>
      </c>
      <c r="H21" s="16">
        <f>IFERROR(H20-('V37'!H20),"")</f>
        <v>0.10709594757159405</v>
      </c>
    </row>
    <row r="22" spans="1:11">
      <c r="B22" s="5" t="s">
        <v>21</v>
      </c>
      <c r="E22" s="13">
        <f>E20/$B$112</f>
        <v>1.4341928135031583E-2</v>
      </c>
      <c r="F22" s="13">
        <f>F20/$B$112</f>
        <v>0.26763591177384283</v>
      </c>
      <c r="G22" s="13">
        <f>G20/$B$112</f>
        <v>6.2368748058403228E-2</v>
      </c>
    </row>
    <row r="23" spans="1:11">
      <c r="B23" s="5" t="s">
        <v>22</v>
      </c>
      <c r="E23" s="8">
        <f>IFERROR((E22-'V37'!E22)/'V37'!E22,"")</f>
        <v>0.14217127677353011</v>
      </c>
      <c r="F23" s="8">
        <f>IFERROR((F22-'V37'!F22)/'V37'!F22,"")</f>
        <v>0.33547324769405235</v>
      </c>
      <c r="G23" s="8">
        <f>IFERROR((G22-'V37'!G22)/'V37'!G22,"")</f>
        <v>1.4711246983289807</v>
      </c>
    </row>
    <row r="24" spans="1:11">
      <c r="B24" s="5" t="s">
        <v>23</v>
      </c>
      <c r="E24" s="18">
        <f>(E22 / AVERAGE('V25'!E22,'V26'!E22,'V27'!E22,'V28'!E22,'V29'!E22,'V30'!E22,'V31'!E22,'V32'!E22,'V33'!E22,'V34'!E22,'V35'!E22,'V36'!E22,'V37'!E22)) * 100</f>
        <v>134.07459234959822</v>
      </c>
      <c r="F24" s="18">
        <f>(F22 / AVERAGE('V25'!F22,'V26'!F22,'V27'!F22,'V28'!F22,'V29'!F22,'V30'!F22,'V31'!F22,'V32'!F22,'V33'!F22,'V34'!F22,'V35'!F22,'V36'!F22,'V37'!F22)) * 100</f>
        <v>138.31394024022396</v>
      </c>
      <c r="G24" s="18">
        <f>(G22 / AVERAGE('V25'!G22,'V26'!G22,'V27'!G22,'V28'!G22,'V29'!G22,'V30'!G22,'V31'!G22,'V32'!G22,'V33'!G22,'V34'!G22,'V35'!G22,'V36'!G22,'V37'!G22)) * 100</f>
        <v>189.44138621139064</v>
      </c>
      <c r="H24" s="14">
        <f>IFERROR((G24*0.6)+(F24*0.4),"")</f>
        <v>168.99040782292397</v>
      </c>
    </row>
    <row r="25" spans="1:11">
      <c r="A25" s="1">
        <v>3</v>
      </c>
      <c r="C25" s="2" t="s">
        <v>31</v>
      </c>
      <c r="D25" s="2" t="s">
        <v>5</v>
      </c>
      <c r="E25" s="2" t="s">
        <v>6</v>
      </c>
      <c r="F25" s="2" t="s">
        <v>7</v>
      </c>
      <c r="G25" s="2" t="s">
        <v>8</v>
      </c>
      <c r="H25" s="2" t="s">
        <v>9</v>
      </c>
      <c r="I25" s="2" t="s">
        <v>10</v>
      </c>
      <c r="J25" s="2" t="s">
        <v>11</v>
      </c>
      <c r="K25" s="2" t="s">
        <v>12</v>
      </c>
    </row>
    <row r="26" spans="1:11">
      <c r="B26" s="6" t="s">
        <v>32</v>
      </c>
      <c r="C26" s="2" t="s">
        <v>33</v>
      </c>
      <c r="D26" s="5" t="s">
        <v>34</v>
      </c>
      <c r="E26" s="7">
        <v>802</v>
      </c>
      <c r="F26" s="7">
        <v>18945.099999999999</v>
      </c>
      <c r="G26" s="7">
        <v>4154.32</v>
      </c>
      <c r="H26" s="8">
        <f>IFERROR(G26/F26,"")</f>
        <v>0.21928203070978775</v>
      </c>
      <c r="I26" s="18">
        <f>IFERROR(((E26/$B$112) / AVERAGE('V25'!E26/'V25'!$B$112, 'V26'!E26/'V26'!$B$112, 'V27'!E26/'V27'!$B$112, 'V28'!E26/'V28'!$B$112, 'V29'!E26/'V29'!$B$112, 'V30'!E26/'V30'!$B$112, 'V31'!E26/'V31'!$B$112, 'V32'!E26/'V32'!$B$112, 'V33'!E26/'V33'!$B$112, 'V34'!E26/'V34'!$B$112, 'V35'!E26/'V35'!$B$112, 'V36'!E26/'V36'!$B$112, 'V37'!E26/'V37'!$B$112)) * 100,"")</f>
        <v>131.67598447724416</v>
      </c>
      <c r="J26" s="18">
        <f>IFERROR(((F26/$B$112) / AVERAGE('V25'!F26/'V25'!$B$112, 'V26'!F26/'V26'!$B$112, 'V27'!F26/'V27'!$B$112, 'V28'!F26/'V28'!$B$112, 'V29'!F26/'V29'!$B$112, 'V30'!F26/'V30'!$B$112, 'V31'!F26/'V31'!$B$112, 'V32'!F26/'V32'!$B$112, 'V33'!F26/'V33'!$B$112, 'V34'!F26/'V34'!$B$112, 'V35'!F26/'V35'!$B$112, 'V36'!F26/'V36'!$B$112, 'V37'!F26/'V37'!$B$112)) * 100,"")</f>
        <v>131.64494997767102</v>
      </c>
      <c r="K26" s="18">
        <f>IFERROR(((G26/$B$112) / AVERAGE('V25'!G26/'V25'!$B$112, 'V26'!G26/'V26'!$B$112, 'V27'!G26/'V27'!$B$112, 'V28'!G26/'V28'!$B$112, 'V29'!G26/'V29'!$B$112, 'V30'!G26/'V30'!$B$112, 'V31'!G26/'V31'!$B$112, 'V32'!G26/'V32'!$B$112, 'V33'!G26/'V33'!$B$112, 'V34'!G26/'V34'!$B$112, 'V35'!G26/'V35'!$B$112, 'V36'!G26/'V36'!$B$112, 'V37'!G26/'V37'!$B$112)) * 100,"")</f>
        <v>131.37161688223145</v>
      </c>
    </row>
    <row r="27" spans="1:11">
      <c r="C27" s="2" t="s">
        <v>35</v>
      </c>
    </row>
    <row r="28" spans="1:11">
      <c r="C28" s="2" t="s">
        <v>36</v>
      </c>
    </row>
    <row r="29" spans="1:11">
      <c r="C29" s="2" t="s">
        <v>37</v>
      </c>
    </row>
    <row r="30" spans="1:11">
      <c r="C30" s="9" t="s">
        <v>19</v>
      </c>
      <c r="D30" s="10"/>
      <c r="E30" s="11">
        <f>SUM(E26:E29)</f>
        <v>802</v>
      </c>
      <c r="F30" s="11">
        <f>SUM(F26:F29)</f>
        <v>18945.099999999999</v>
      </c>
      <c r="G30" s="11">
        <f>SUM(G26:G29)</f>
        <v>4154.32</v>
      </c>
      <c r="H30" s="12">
        <f>IFERROR(G30/F30,"")</f>
        <v>0.21928203070978775</v>
      </c>
    </row>
    <row r="31" spans="1:11">
      <c r="B31" s="5" t="s">
        <v>20</v>
      </c>
      <c r="E31" s="16">
        <f>IFERROR((E30-('V37'!E30))/('V37'!E30),"")</f>
        <v>0.27301587301587299</v>
      </c>
      <c r="F31" s="16">
        <f>IFERROR((F30-('V37'!F30))/('V37'!F30),"")</f>
        <v>0.27227561864033434</v>
      </c>
      <c r="G31" s="16">
        <f>IFERROR((G30-('V37'!G30))/('V37'!G30),"")</f>
        <v>0.28908058460297265</v>
      </c>
      <c r="H31" s="16">
        <f>IFERROR(H30-('V37'!H30),"")</f>
        <v>2.8586475557159374E-3</v>
      </c>
    </row>
    <row r="32" spans="1:11">
      <c r="B32" s="5" t="s">
        <v>21</v>
      </c>
      <c r="E32" s="13">
        <f>E30/$B$112</f>
        <v>4.1524282903593251E-2</v>
      </c>
      <c r="F32" s="13">
        <f>F30/$B$112</f>
        <v>0.98089986538262397</v>
      </c>
      <c r="G32" s="13">
        <f>G30/$B$112</f>
        <v>0.21509371440405922</v>
      </c>
    </row>
    <row r="33" spans="1:11">
      <c r="B33" s="5" t="s">
        <v>22</v>
      </c>
      <c r="E33" s="8">
        <f>IFERROR((E32-'V37'!E32)/'V37'!E32,"")</f>
        <v>6.0319268365245399E-2</v>
      </c>
      <c r="F33" s="8">
        <f>IFERROR((F32-'V37'!F32)/'V37'!F32,"")</f>
        <v>5.9702696337737296E-2</v>
      </c>
      <c r="G33" s="8">
        <f>IFERROR((G32-'V37'!G32)/'V37'!G32,"")</f>
        <v>7.3699873900177099E-2</v>
      </c>
    </row>
    <row r="34" spans="1:11">
      <c r="B34" s="5" t="s">
        <v>23</v>
      </c>
      <c r="E34" s="18">
        <f>(E32 / AVERAGE('V25'!E32,'V26'!E32,'V27'!E32,'V28'!E32,'V29'!E32,'V30'!E32,'V31'!E32,'V32'!E32,'V33'!E32,'V34'!E32,'V35'!E32,'V36'!E32,'V37'!E32)) * 100</f>
        <v>131.67598447724416</v>
      </c>
      <c r="F34" s="18">
        <f>(F32 / AVERAGE('V25'!F32,'V26'!F32,'V27'!F32,'V28'!F32,'V29'!F32,'V30'!F32,'V31'!F32,'V32'!F32,'V33'!F32,'V34'!F32,'V35'!F32,'V36'!F32,'V37'!F32)) * 100</f>
        <v>131.64494997767102</v>
      </c>
      <c r="G34" s="18">
        <f>(G32 / AVERAGE('V25'!G32,'V26'!G32,'V27'!G32,'V28'!G32,'V29'!G32,'V30'!G32,'V31'!G32,'V32'!G32,'V33'!G32,'V34'!G32,'V35'!G32,'V36'!G32,'V37'!G32)) * 100</f>
        <v>131.37161688223145</v>
      </c>
      <c r="H34" s="14">
        <f>IFERROR((G34*0.6)+(F34*0.4),"")</f>
        <v>131.48095012040727</v>
      </c>
    </row>
    <row r="35" spans="1:11">
      <c r="A35" s="1">
        <v>4</v>
      </c>
      <c r="C35" s="2" t="s">
        <v>38</v>
      </c>
      <c r="D35" s="2" t="s">
        <v>5</v>
      </c>
      <c r="E35" s="2" t="s">
        <v>6</v>
      </c>
      <c r="F35" s="2" t="s">
        <v>7</v>
      </c>
      <c r="G35" s="2" t="s">
        <v>8</v>
      </c>
      <c r="H35" s="2" t="s">
        <v>9</v>
      </c>
      <c r="I35" s="2" t="s">
        <v>10</v>
      </c>
      <c r="J35" s="2" t="s">
        <v>11</v>
      </c>
      <c r="K35" s="2" t="s">
        <v>12</v>
      </c>
    </row>
    <row r="36" spans="1:11">
      <c r="B36" s="6" t="s">
        <v>39</v>
      </c>
      <c r="C36" s="2" t="s">
        <v>40</v>
      </c>
      <c r="D36" s="5" t="s">
        <v>41</v>
      </c>
      <c r="E36" s="7">
        <v>684</v>
      </c>
      <c r="F36" s="7">
        <v>16161.06</v>
      </c>
      <c r="G36" s="7">
        <v>3562.62</v>
      </c>
      <c r="H36" s="8">
        <f>IFERROR(G36/F36,"")</f>
        <v>0.22044469855318896</v>
      </c>
      <c r="I36" s="18">
        <f>IFERROR(((E36/$B$112) / AVERAGE('V25'!E36/'V25'!$B$112, 'V26'!E36/'V26'!$B$112, 'V27'!E36/'V27'!$B$112, 'V28'!E36/'V28'!$B$112, 'V29'!E36/'V29'!$B$112, 'V30'!E36/'V30'!$B$112, 'V31'!E36/'V31'!$B$112, 'V32'!E36/'V32'!$B$112, 'V33'!E36/'V33'!$B$112, 'V34'!E36/'V34'!$B$112, 'V35'!E36/'V35'!$B$112, 'V36'!E36/'V36'!$B$112, 'V37'!E36/'V37'!$B$112)) * 100,"")</f>
        <v>128.24008741706933</v>
      </c>
      <c r="J36" s="18">
        <f>IFERROR(((F36/$B$112) / AVERAGE('V25'!F36/'V25'!$B$112, 'V26'!F36/'V26'!$B$112, 'V27'!F36/'V27'!$B$112, 'V28'!F36/'V28'!$B$112, 'V29'!F36/'V29'!$B$112, 'V30'!F36/'V30'!$B$112, 'V31'!F36/'V31'!$B$112, 'V32'!F36/'V32'!$B$112, 'V33'!F36/'V33'!$B$112, 'V34'!F36/'V34'!$B$112, 'V35'!F36/'V35'!$B$112, 'V36'!F36/'V36'!$B$112, 'V37'!F36/'V37'!$B$112)) * 100,"")</f>
        <v>128.26761892401944</v>
      </c>
      <c r="K36" s="18">
        <f>IFERROR(((G36/$B$112) / AVERAGE('V25'!G36/'V25'!$B$112, 'V26'!G36/'V26'!$B$112, 'V27'!G36/'V27'!$B$112, 'V28'!G36/'V28'!$B$112, 'V29'!G36/'V29'!$B$112, 'V30'!G36/'V30'!$B$112, 'V31'!G36/'V31'!$B$112, 'V32'!G36/'V32'!$B$112, 'V33'!G36/'V33'!$B$112, 'V34'!G36/'V34'!$B$112, 'V35'!G36/'V35'!$B$112, 'V36'!G36/'V36'!$B$112, 'V37'!G36/'V37'!$B$112)) * 100,"")</f>
        <v>126.8732497426476</v>
      </c>
    </row>
    <row r="37" spans="1:11">
      <c r="C37" s="2" t="s">
        <v>42</v>
      </c>
    </row>
    <row r="38" spans="1:11">
      <c r="C38" s="2" t="s">
        <v>43</v>
      </c>
    </row>
    <row r="39" spans="1:11">
      <c r="C39" s="2" t="s">
        <v>44</v>
      </c>
    </row>
    <row r="40" spans="1:11">
      <c r="C40" s="9" t="s">
        <v>19</v>
      </c>
      <c r="D40" s="10"/>
      <c r="E40" s="11">
        <f>SUM(E36:E39)</f>
        <v>684</v>
      </c>
      <c r="F40" s="11">
        <f>SUM(F36:F39)</f>
        <v>16161.06</v>
      </c>
      <c r="G40" s="11">
        <f>SUM(G36:G39)</f>
        <v>3562.62</v>
      </c>
      <c r="H40" s="12">
        <f>IFERROR(G40/F40,"")</f>
        <v>0.22044469855318896</v>
      </c>
    </row>
    <row r="41" spans="1:11">
      <c r="B41" s="5" t="s">
        <v>20</v>
      </c>
      <c r="E41" s="16">
        <f>IFERROR((E40-('V37'!E40))/('V37'!E40),"")</f>
        <v>0.56880733944954132</v>
      </c>
      <c r="F41" s="16">
        <f>IFERROR((F40-('V37'!F40))/('V37'!F40),"")</f>
        <v>0.56886435649715739</v>
      </c>
      <c r="G41" s="16">
        <f>IFERROR((G40-('V37'!G40))/('V37'!G40),"")</f>
        <v>0.5579062445338463</v>
      </c>
      <c r="H41" s="16">
        <f>IFERROR(H40-('V37'!H40),"")</f>
        <v>-1.550579630154203E-3</v>
      </c>
    </row>
    <row r="42" spans="1:11">
      <c r="B42" s="5" t="s">
        <v>21</v>
      </c>
      <c r="E42" s="13">
        <f>E40/$B$112</f>
        <v>3.5414725069897485E-2</v>
      </c>
      <c r="F42" s="13">
        <f>F40/$B$112</f>
        <v>0.83675365020192605</v>
      </c>
      <c r="G42" s="13">
        <f>G40/$B$112</f>
        <v>0.18445790618204411</v>
      </c>
    </row>
    <row r="43" spans="1:11">
      <c r="B43" s="5" t="s">
        <v>22</v>
      </c>
      <c r="E43" s="8">
        <f>IFERROR((E42-'V37'!E42)/'V37'!E42,"")</f>
        <v>0.30668963807211197</v>
      </c>
      <c r="F43" s="8">
        <f>IFERROR((F42-'V37'!F42)/'V37'!F42,"")</f>
        <v>0.30673712866158087</v>
      </c>
      <c r="G43" s="8">
        <f>IFERROR((G42-'V37'!G42)/'V37'!G42,"")</f>
        <v>0.29760990762224221</v>
      </c>
    </row>
    <row r="44" spans="1:11">
      <c r="B44" s="5" t="s">
        <v>23</v>
      </c>
      <c r="E44" s="18">
        <f>(E42 / AVERAGE('V25'!E42,'V26'!E42,'V27'!E42,'V28'!E42,'V29'!E42,'V30'!E42,'V31'!E42,'V32'!E42,'V33'!E42,'V34'!E42,'V35'!E42,'V36'!E42,'V37'!E42)) * 100</f>
        <v>128.24008741706933</v>
      </c>
      <c r="F44" s="18">
        <f>(F42 / AVERAGE('V25'!F42,'V26'!F42,'V27'!F42,'V28'!F42,'V29'!F42,'V30'!F42,'V31'!F42,'V32'!F42,'V33'!F42,'V34'!F42,'V35'!F42,'V36'!F42,'V37'!F42)) * 100</f>
        <v>128.26761892401944</v>
      </c>
      <c r="G44" s="18">
        <f>(G42 / AVERAGE('V25'!G42,'V26'!G42,'V27'!G42,'V28'!G42,'V29'!G42,'V30'!G42,'V31'!G42,'V32'!G42,'V33'!G42,'V34'!G42,'V35'!G42,'V36'!G42,'V37'!G42)) * 100</f>
        <v>126.8732497426476</v>
      </c>
      <c r="H44" s="14">
        <f>IFERROR((G44*0.6)+(F44*0.4),"")</f>
        <v>127.43099741519634</v>
      </c>
    </row>
    <row r="45" spans="1:11">
      <c r="A45" s="1">
        <v>5</v>
      </c>
      <c r="C45" s="2" t="s">
        <v>45</v>
      </c>
      <c r="D45" s="2" t="s">
        <v>5</v>
      </c>
      <c r="E45" s="2" t="s">
        <v>6</v>
      </c>
      <c r="F45" s="2" t="s">
        <v>7</v>
      </c>
      <c r="G45" s="2" t="s">
        <v>8</v>
      </c>
      <c r="H45" s="2" t="s">
        <v>9</v>
      </c>
      <c r="I45" s="2" t="s">
        <v>10</v>
      </c>
      <c r="J45" s="2" t="s">
        <v>11</v>
      </c>
      <c r="K45" s="2" t="s">
        <v>12</v>
      </c>
    </row>
    <row r="46" spans="1:11">
      <c r="B46" s="6" t="s">
        <v>124</v>
      </c>
      <c r="C46" s="2" t="s">
        <v>47</v>
      </c>
      <c r="D46" s="5" t="s">
        <v>125</v>
      </c>
      <c r="E46" s="7">
        <v>102</v>
      </c>
      <c r="F46" s="7">
        <v>8078.4</v>
      </c>
      <c r="G46" s="7">
        <v>2220.25</v>
      </c>
      <c r="H46" s="8">
        <f>IFERROR(G46/F46,"")</f>
        <v>0.27483783917607446</v>
      </c>
      <c r="I46" s="18">
        <f>IFERROR(((E46/$B$112) / AVERAGE('V25'!E46/'V25'!$B$112, 'V26'!E46/'V26'!$B$112, 'V27'!E46/'V27'!$B$112, 'V28'!E46/'V28'!$B$112, 'V29'!E46/'V29'!$B$112, 'V30'!E46/'V30'!$B$112, 'V31'!E46/'V31'!$B$112, 'V32'!E46/'V32'!$B$112, 'V33'!E46/'V33'!$B$112, 'V34'!E46/'V34'!$B$112, 'V35'!E46/'V35'!$B$112, 'V36'!E46/'V36'!$B$112, 'V37'!E46/'V37'!$B$112)) * 100,"")</f>
        <v>49.657631735055965</v>
      </c>
      <c r="J46" s="18">
        <f>IFERROR(((F46/$B$112) / AVERAGE('V25'!F46/'V25'!$B$112, 'V26'!F46/'V26'!$B$112, 'V27'!F46/'V27'!$B$112, 'V28'!F46/'V28'!$B$112, 'V29'!F46/'V29'!$B$112, 'V30'!F46/'V30'!$B$112, 'V31'!F46/'V31'!$B$112, 'V32'!F46/'V32'!$B$112, 'V33'!F46/'V33'!$B$112, 'V34'!F46/'V34'!$B$112, 'V35'!F46/'V35'!$B$112, 'V36'!F46/'V36'!$B$112, 'V37'!F46/'V37'!$B$112)) * 100,"")</f>
        <v>50.948629775465925</v>
      </c>
      <c r="K46" s="18">
        <f>IFERROR(((G46/$B$112) / AVERAGE('V25'!G46/'V25'!$B$112, 'V26'!G46/'V26'!$B$112, 'V27'!G46/'V27'!$B$112, 'V28'!G46/'V28'!$B$112, 'V29'!G46/'V29'!$B$112, 'V30'!G46/'V30'!$B$112, 'V31'!G46/'V31'!$B$112, 'V32'!G46/'V32'!$B$112, 'V33'!G46/'V33'!$B$112, 'V34'!G46/'V34'!$B$112, 'V35'!G46/'V35'!$B$112, 'V36'!G46/'V36'!$B$112, 'V37'!G46/'V37'!$B$112)) * 100,"")</f>
        <v>161.85510202771903</v>
      </c>
    </row>
    <row r="47" spans="1:11">
      <c r="C47" s="2" t="s">
        <v>49</v>
      </c>
    </row>
    <row r="48" spans="1:11">
      <c r="C48" s="2" t="s">
        <v>50</v>
      </c>
    </row>
    <row r="49" spans="1:11">
      <c r="C49" s="2" t="s">
        <v>51</v>
      </c>
    </row>
    <row r="50" spans="1:11">
      <c r="C50" s="9" t="s">
        <v>19</v>
      </c>
      <c r="D50" s="10"/>
      <c r="E50" s="11">
        <f>SUM(E46:E49)</f>
        <v>102</v>
      </c>
      <c r="F50" s="11">
        <f>SUM(F46:F49)</f>
        <v>8078.4</v>
      </c>
      <c r="G50" s="11">
        <f>SUM(G46:G49)</f>
        <v>2220.25</v>
      </c>
      <c r="H50" s="12">
        <f>IFERROR(G50/F50,"")</f>
        <v>0.27483783917607446</v>
      </c>
    </row>
    <row r="51" spans="1:11">
      <c r="B51" s="5" t="s">
        <v>20</v>
      </c>
      <c r="E51" s="16">
        <f>IFERROR((E50-('V37'!E50))/('V37'!E50),"")</f>
        <v>0.21428571428571427</v>
      </c>
      <c r="F51" s="16">
        <f>IFERROR((F50-('V37'!F50))/('V37'!F50),"")</f>
        <v>0.21500527910047737</v>
      </c>
      <c r="G51" s="16">
        <f>IFERROR((G50-('V37'!G50))/('V37'!G50),"")</f>
        <v>0.37642121185820743</v>
      </c>
      <c r="H51" s="16">
        <f>IFERROR(H50-('V37'!H50),"")</f>
        <v>3.2230835870244584E-2</v>
      </c>
    </row>
    <row r="52" spans="1:11">
      <c r="B52" s="5" t="s">
        <v>21</v>
      </c>
      <c r="E52" s="13">
        <f>E50/$B$112</f>
        <v>5.281143212177695E-3</v>
      </c>
      <c r="F52" s="13">
        <f>F50/$B$112</f>
        <v>0.41826654240447342</v>
      </c>
      <c r="G52" s="13">
        <f>G50/$B$112</f>
        <v>0.1149554727140934</v>
      </c>
    </row>
    <row r="53" spans="1:11">
      <c r="B53" s="5" t="s">
        <v>22</v>
      </c>
      <c r="E53" s="8">
        <f>IFERROR((E52-'V37'!E52)/'V37'!E52,"")</f>
        <v>1.1401795884554505E-2</v>
      </c>
      <c r="F53" s="8">
        <f>IFERROR((F52-'V37'!F52)/'V37'!F52,"")</f>
        <v>1.2001135181183601E-2</v>
      </c>
      <c r="G53" s="8">
        <f>IFERROR((G52-'V37'!G52)/'V37'!G52,"")</f>
        <v>0.1464475528198706</v>
      </c>
    </row>
    <row r="54" spans="1:11">
      <c r="B54" s="5" t="s">
        <v>23</v>
      </c>
      <c r="E54" s="18">
        <f>(E52 / AVERAGE('V25'!E52,'V26'!E52,'V27'!E52,'V28'!E52,'V29'!E52,'V30'!E52,'V31'!E52,'V32'!E52,'V33'!E52,'V34'!E52,'V35'!E52,'V36'!E52,'V37'!E52)) * 100</f>
        <v>49.657631735055965</v>
      </c>
      <c r="F54" s="18">
        <f>(F52 / AVERAGE('V25'!F52,'V26'!F52,'V27'!F52,'V28'!F52,'V29'!F52,'V30'!F52,'V31'!F52,'V32'!F52,'V33'!F52,'V34'!F52,'V35'!F52,'V36'!F52,'V37'!F52)) * 100</f>
        <v>50.948629775465925</v>
      </c>
      <c r="G54" s="18">
        <f>(G52 / AVERAGE('V25'!G52,'V26'!G52,'V27'!G52,'V28'!G52,'V29'!G52,'V30'!G52,'V31'!G52,'V32'!G52,'V33'!G52,'V34'!G52,'V35'!G52,'V36'!G52,'V37'!G52)) * 100</f>
        <v>161.85510202771903</v>
      </c>
      <c r="H54" s="14">
        <f>IFERROR((G54*0.6)+(F54*0.4),"")</f>
        <v>117.49251312681778</v>
      </c>
    </row>
    <row r="55" spans="1:11">
      <c r="A55" s="1">
        <v>6</v>
      </c>
      <c r="C55" s="2" t="s">
        <v>52</v>
      </c>
      <c r="D55" s="2" t="s">
        <v>5</v>
      </c>
      <c r="E55" s="2" t="s">
        <v>6</v>
      </c>
      <c r="F55" s="2" t="s">
        <v>7</v>
      </c>
      <c r="G55" s="2" t="s">
        <v>8</v>
      </c>
      <c r="H55" s="2" t="s">
        <v>9</v>
      </c>
      <c r="I55" s="2" t="s">
        <v>10</v>
      </c>
      <c r="J55" s="2" t="s">
        <v>11</v>
      </c>
      <c r="K55" s="2" t="s">
        <v>12</v>
      </c>
    </row>
    <row r="56" spans="1:11">
      <c r="B56" s="6" t="s">
        <v>53</v>
      </c>
      <c r="C56" s="2" t="s">
        <v>54</v>
      </c>
      <c r="D56" s="5" t="s">
        <v>55</v>
      </c>
      <c r="E56" s="7">
        <v>197</v>
      </c>
      <c r="F56" s="7">
        <v>7907.04</v>
      </c>
      <c r="G56" s="7">
        <v>1603.04</v>
      </c>
      <c r="H56" s="8">
        <f>IFERROR(G56/F56,"")</f>
        <v>0.20273578987838686</v>
      </c>
      <c r="I56" s="18">
        <f>IFERROR(((E56/$B$112) / AVERAGE('V25'!E56/'V25'!$B$112, 'V26'!E56/'V26'!$B$112, 'V27'!E56/'V27'!$B$112, 'V28'!E56/'V28'!$B$112, 'V29'!E56/'V29'!$B$112, 'V30'!E56/'V30'!$B$112, 'V31'!E56/'V31'!$B$112, 'V32'!E56/'V32'!$B$112, 'V33'!E56/'V33'!$B$112, 'V34'!E56/'V34'!$B$112, 'V35'!E56/'V35'!$B$112, 'V36'!E56/'V36'!$B$112, 'V37'!E56/'V37'!$B$112)) * 100,"")</f>
        <v>98.206139788508779</v>
      </c>
      <c r="J56" s="18">
        <f>IFERROR(((F56/$B$112) / AVERAGE('V25'!F56/'V25'!$B$112, 'V26'!F56/'V26'!$B$112, 'V27'!F56/'V27'!$B$112, 'V28'!F56/'V28'!$B$112, 'V29'!F56/'V29'!$B$112, 'V30'!F56/'V30'!$B$112, 'V31'!F56/'V31'!$B$112, 'V32'!F56/'V32'!$B$112, 'V33'!F56/'V33'!$B$112, 'V34'!F56/'V34'!$B$112, 'V35'!F56/'V35'!$B$112, 'V36'!F56/'V36'!$B$112, 'V37'!F56/'V37'!$B$112)) * 100,"")</f>
        <v>96.709183820673999</v>
      </c>
      <c r="K56" s="18">
        <f>IFERROR(((G56/$B$112) / AVERAGE('V25'!G56/'V25'!$B$112, 'V26'!G56/'V26'!$B$112, 'V27'!G56/'V27'!$B$112, 'V28'!G56/'V28'!$B$112, 'V29'!G56/'V29'!$B$112, 'V30'!G56/'V30'!$B$112, 'V31'!G56/'V31'!$B$112, 'V32'!G56/'V32'!$B$112, 'V33'!G56/'V33'!$B$112, 'V34'!G56/'V34'!$B$112, 'V35'!G56/'V35'!$B$112, 'V36'!G56/'V36'!$B$112, 'V37'!G56/'V37'!$B$112)) * 100,"")</f>
        <v>91.776403892051846</v>
      </c>
    </row>
    <row r="57" spans="1:11">
      <c r="C57" s="2" t="s">
        <v>56</v>
      </c>
    </row>
    <row r="58" spans="1:11">
      <c r="C58" s="2" t="s">
        <v>57</v>
      </c>
    </row>
    <row r="59" spans="1:11">
      <c r="C59" s="2" t="s">
        <v>58</v>
      </c>
    </row>
    <row r="60" spans="1:11">
      <c r="C60" s="9" t="s">
        <v>19</v>
      </c>
      <c r="D60" s="10"/>
      <c r="E60" s="11">
        <f>SUM(E56:E59)</f>
        <v>197</v>
      </c>
      <c r="F60" s="11">
        <f>SUM(F56:F59)</f>
        <v>7907.04</v>
      </c>
      <c r="G60" s="11">
        <f>SUM(G56:G59)</f>
        <v>1603.04</v>
      </c>
      <c r="H60" s="12">
        <f>IFERROR(G60/F60,"")</f>
        <v>0.20273578987838686</v>
      </c>
    </row>
    <row r="61" spans="1:11">
      <c r="B61" s="5" t="s">
        <v>20</v>
      </c>
      <c r="E61" s="16">
        <f>IFERROR((E60-('V37'!E60))/('V37'!E60),"")</f>
        <v>0</v>
      </c>
      <c r="F61" s="16">
        <f>IFERROR((F60-('V37'!F60))/('V37'!F60),"")</f>
        <v>-1.5278241333446282E-2</v>
      </c>
      <c r="G61" s="16">
        <f>IFERROR((G60-('V37'!G60))/('V37'!G60),"")</f>
        <v>-7.1089168578912024E-2</v>
      </c>
      <c r="H61" s="16">
        <f>IFERROR(H60-('V37'!H60),"")</f>
        <v>-1.2180795008757406E-2</v>
      </c>
    </row>
    <row r="62" spans="1:11">
      <c r="B62" s="5" t="s">
        <v>21</v>
      </c>
      <c r="E62" s="13">
        <f>E60/$B$112</f>
        <v>1.0199855027441234E-2</v>
      </c>
      <c r="F62" s="13">
        <f>F60/$B$112</f>
        <v>0.40939422180801494</v>
      </c>
      <c r="G62" s="13">
        <f>G60/$B$112</f>
        <v>8.2998860929895404E-2</v>
      </c>
    </row>
    <row r="63" spans="1:11">
      <c r="B63" s="5" t="s">
        <v>22</v>
      </c>
      <c r="E63" s="8">
        <f>IFERROR((E62-'V37'!E62)/'V37'!E62,"")</f>
        <v>-0.16708087397742569</v>
      </c>
      <c r="F63" s="8">
        <f>IFERROR((F62-'V37'!F62)/'V37'!F62,"")</f>
        <v>-0.1798064133960417</v>
      </c>
      <c r="G63" s="8">
        <f>IFERROR((G62-'V37'!G62)/'V37'!G62,"")</f>
        <v>-0.22629240213984461</v>
      </c>
    </row>
    <row r="64" spans="1:11">
      <c r="B64" s="5" t="s">
        <v>23</v>
      </c>
      <c r="E64" s="18">
        <f>(E62 / AVERAGE('V25'!E62,'V26'!E62,'V27'!E62,'V28'!E62,'V29'!E62,'V30'!E62,'V31'!E62,'V32'!E62,'V33'!E62,'V34'!E62,'V35'!E62,'V36'!E62,'V37'!E62)) * 100</f>
        <v>98.206139788508779</v>
      </c>
      <c r="F64" s="18">
        <f>(F62 / AVERAGE('V25'!F62,'V26'!F62,'V27'!F62,'V28'!F62,'V29'!F62,'V30'!F62,'V31'!F62,'V32'!F62,'V33'!F62,'V34'!F62,'V35'!F62,'V36'!F62,'V37'!F62)) * 100</f>
        <v>96.709183820673999</v>
      </c>
      <c r="G64" s="18">
        <f>(G62 / AVERAGE('V25'!G62,'V26'!G62,'V27'!G62,'V28'!G62,'V29'!G62,'V30'!G62,'V31'!G62,'V32'!G62,'V33'!G62,'V34'!G62,'V35'!G62,'V36'!G62,'V37'!G62)) * 100</f>
        <v>91.776403892051846</v>
      </c>
      <c r="H64" s="14">
        <f>IFERROR((G64*0.6)+(F64*0.4),"")</f>
        <v>93.749515863500704</v>
      </c>
    </row>
    <row r="65" spans="1:11">
      <c r="A65" s="1">
        <v>7</v>
      </c>
      <c r="C65" s="2" t="s">
        <v>59</v>
      </c>
      <c r="D65" s="2" t="s">
        <v>5</v>
      </c>
      <c r="E65" s="2" t="s">
        <v>6</v>
      </c>
      <c r="F65" s="2" t="s">
        <v>7</v>
      </c>
      <c r="G65" s="2" t="s">
        <v>8</v>
      </c>
      <c r="H65" s="2" t="s">
        <v>9</v>
      </c>
      <c r="I65" s="2" t="s">
        <v>10</v>
      </c>
      <c r="J65" s="2" t="s">
        <v>11</v>
      </c>
      <c r="K65" s="2" t="s">
        <v>12</v>
      </c>
    </row>
    <row r="66" spans="1:11">
      <c r="B66" s="6" t="s">
        <v>60</v>
      </c>
      <c r="C66" s="2" t="s">
        <v>61</v>
      </c>
      <c r="D66" s="5" t="s">
        <v>62</v>
      </c>
      <c r="E66" s="7">
        <v>154</v>
      </c>
      <c r="F66" s="7">
        <v>3197.04</v>
      </c>
      <c r="G66" s="7">
        <v>740.74</v>
      </c>
      <c r="H66" s="8">
        <f>IFERROR(G66/F66,"")</f>
        <v>0.23169556840077071</v>
      </c>
      <c r="I66" s="18">
        <f>IFERROR(((E66/$B$112) / AVERAGE('V25'!E66/'V25'!$B$112, 'V26'!E66/'V26'!$B$112, 'V27'!E66/'V27'!$B$112, 'V28'!E66/'V28'!$B$112, 'V29'!E66/'V29'!$B$112, 'V30'!E66/'V30'!$B$112, 'V31'!E66/'V31'!$B$112, 'V32'!E66/'V32'!$B$112, 'V33'!E66/'V33'!$B$112, 'V34'!E66/'V34'!$B$112, 'V35'!E66/'V35'!$B$112, 'V36'!E66/'V36'!$B$112, 'V37'!E66/'V37'!$B$112)) * 100,"")</f>
        <v>111.87155651924803</v>
      </c>
      <c r="J66" s="18">
        <f>IFERROR(((F66/$B$112) / AVERAGE('V25'!F66/'V25'!$B$112, 'V26'!F66/'V26'!$B$112, 'V27'!F66/'V27'!$B$112, 'V28'!F66/'V28'!$B$112, 'V29'!F66/'V29'!$B$112, 'V30'!F66/'V30'!$B$112, 'V31'!F66/'V31'!$B$112, 'V32'!F66/'V32'!$B$112, 'V33'!F66/'V33'!$B$112, 'V34'!F66/'V34'!$B$112, 'V35'!F66/'V35'!$B$112, 'V36'!F66/'V36'!$B$112, 'V37'!F66/'V37'!$B$112)) * 100,"")</f>
        <v>111.91765445433508</v>
      </c>
      <c r="K66" s="18">
        <f>IFERROR(((G66/$B$112) / AVERAGE('V25'!G66/'V25'!$B$112, 'V26'!G66/'V26'!$B$112, 'V27'!G66/'V27'!$B$112, 'V28'!G66/'V28'!$B$112, 'V29'!G66/'V29'!$B$112, 'V30'!G66/'V30'!$B$112, 'V31'!G66/'V31'!$B$112, 'V32'!G66/'V32'!$B$112, 'V33'!G66/'V33'!$B$112, 'V34'!G66/'V34'!$B$112, 'V35'!G66/'V35'!$B$112, 'V36'!G66/'V36'!$B$112, 'V37'!G66/'V37'!$B$112)) * 100,"")</f>
        <v>112.07078781980088</v>
      </c>
    </row>
    <row r="67" spans="1:11">
      <c r="C67" s="2" t="s">
        <v>63</v>
      </c>
    </row>
    <row r="68" spans="1:11">
      <c r="C68" s="2" t="s">
        <v>64</v>
      </c>
    </row>
    <row r="69" spans="1:11">
      <c r="C69" s="2" t="s">
        <v>65</v>
      </c>
    </row>
    <row r="70" spans="1:11">
      <c r="C70" s="9" t="s">
        <v>19</v>
      </c>
      <c r="D70" s="10"/>
      <c r="E70" s="11">
        <f>SUM(E66:E69)</f>
        <v>154</v>
      </c>
      <c r="F70" s="11">
        <f>SUM(F66:F69)</f>
        <v>3197.04</v>
      </c>
      <c r="G70" s="11">
        <f>SUM(G66:G69)</f>
        <v>740.74</v>
      </c>
      <c r="H70" s="12">
        <f>IFERROR(G70/F70,"")</f>
        <v>0.23169556840077071</v>
      </c>
    </row>
    <row r="71" spans="1:11">
      <c r="B71" s="5" t="s">
        <v>20</v>
      </c>
      <c r="E71" s="16">
        <f>IFERROR((E70-('V37'!E70))/('V37'!E70),"")</f>
        <v>0.17557251908396945</v>
      </c>
      <c r="F71" s="16">
        <f>IFERROR((F70-('V37'!F70))/('V37'!F70),"")</f>
        <v>0.17557251908396948</v>
      </c>
      <c r="G71" s="16">
        <f>IFERROR((G70-('V37'!G70))/('V37'!G70),"")</f>
        <v>0.17557251908396945</v>
      </c>
      <c r="H71" s="16">
        <f>IFERROR(H70-('V37'!H70),"")</f>
        <v>0</v>
      </c>
    </row>
    <row r="72" spans="1:11">
      <c r="B72" s="5" t="s">
        <v>21</v>
      </c>
      <c r="E72" s="13">
        <f>E70/$B$112</f>
        <v>7.9734907321114216E-3</v>
      </c>
      <c r="F72" s="13">
        <f>F70/$B$112</f>
        <v>0.16552966759863311</v>
      </c>
      <c r="G72" s="13">
        <f>G70/$B$112</f>
        <v>3.8352490421455943E-2</v>
      </c>
    </row>
    <row r="73" spans="1:11">
      <c r="B73" s="5" t="s">
        <v>22</v>
      </c>
      <c r="E73" s="8">
        <f>IFERROR((E72-'V37'!E72)/'V37'!E72,"")</f>
        <v>-2.0843164828424222E-2</v>
      </c>
      <c r="F73" s="8">
        <f>IFERROR((F72-'V37'!F72)/'V37'!F72,"")</f>
        <v>-2.0843164828424146E-2</v>
      </c>
      <c r="G73" s="8">
        <f>IFERROR((G72-'V37'!G72)/'V37'!G72,"")</f>
        <v>-2.0843164828424045E-2</v>
      </c>
    </row>
    <row r="74" spans="1:11">
      <c r="B74" s="5" t="s">
        <v>23</v>
      </c>
      <c r="E74" s="18">
        <f>(E72 / AVERAGE('V25'!E72,'V26'!E72,'V27'!E72,'V28'!E72,'V29'!E72,'V30'!E72,'V31'!E72,'V32'!E72,'V33'!E72,'V34'!E72,'V35'!E72,'V36'!E72,'V37'!E72)) * 100</f>
        <v>111.87155651924803</v>
      </c>
      <c r="F74" s="18">
        <f>(F72 / AVERAGE('V25'!F72,'V26'!F72,'V27'!F72,'V28'!F72,'V29'!F72,'V30'!F72,'V31'!F72,'V32'!F72,'V33'!F72,'V34'!F72,'V35'!F72,'V36'!F72,'V37'!F72)) * 100</f>
        <v>111.91765445433508</v>
      </c>
      <c r="G74" s="18">
        <f>(G72 / AVERAGE('V25'!G72,'V26'!G72,'V27'!G72,'V28'!G72,'V29'!G72,'V30'!G72,'V31'!G72,'V32'!G72,'V33'!G72,'V34'!G72,'V35'!G72,'V36'!G72,'V37'!G72)) * 100</f>
        <v>112.07078781980088</v>
      </c>
      <c r="H74" s="14">
        <f>IFERROR((G74*0.6)+(F74*0.4),"")</f>
        <v>112.00953447361456</v>
      </c>
    </row>
    <row r="75" spans="1:11">
      <c r="A75" s="1">
        <v>8</v>
      </c>
      <c r="C75" s="2" t="s">
        <v>66</v>
      </c>
      <c r="D75" s="2" t="s">
        <v>5</v>
      </c>
      <c r="E75" s="2" t="s">
        <v>6</v>
      </c>
      <c r="F75" s="2" t="s">
        <v>7</v>
      </c>
      <c r="G75" s="2" t="s">
        <v>8</v>
      </c>
      <c r="H75" s="2" t="s">
        <v>9</v>
      </c>
      <c r="I75" s="2" t="s">
        <v>10</v>
      </c>
      <c r="J75" s="2" t="s">
        <v>11</v>
      </c>
      <c r="K75" s="2" t="s">
        <v>12</v>
      </c>
    </row>
    <row r="76" spans="1:11">
      <c r="B76" s="6" t="s">
        <v>126</v>
      </c>
      <c r="C76" s="2" t="s">
        <v>68</v>
      </c>
      <c r="D76" s="5" t="s">
        <v>127</v>
      </c>
      <c r="E76" s="7">
        <v>69</v>
      </c>
      <c r="F76" s="7">
        <v>2205.2399999999998</v>
      </c>
      <c r="G76" s="7">
        <v>369.24</v>
      </c>
      <c r="H76" s="8">
        <f>IFERROR(G76/F76,"")</f>
        <v>0.16743755781683628</v>
      </c>
      <c r="I76" s="18">
        <f>IFERROR(((E76/$B$112) / AVERAGE('V25'!E76/'V25'!$B$112, 'V26'!E76/'V26'!$B$112, 'V27'!E76/'V27'!$B$112, 'V28'!E76/'V28'!$B$112, 'V29'!E76/'V29'!$B$112, 'V30'!E76/'V30'!$B$112, 'V31'!E76/'V31'!$B$112, 'V32'!E76/'V32'!$B$112, 'V33'!E76/'V33'!$B$112, 'V34'!E76/'V34'!$B$112, 'V35'!E76/'V35'!$B$112, 'V36'!E76/'V36'!$B$112, 'V37'!E76/'V37'!$B$112)) * 100,"")</f>
        <v>76.32361631893103</v>
      </c>
      <c r="J76" s="18">
        <f>IFERROR(((F76/$B$112) / AVERAGE('V25'!F76/'V25'!$B$112, 'V26'!F76/'V26'!$B$112, 'V27'!F76/'V27'!$B$112, 'V28'!F76/'V28'!$B$112, 'V29'!F76/'V29'!$B$112, 'V30'!F76/'V30'!$B$112, 'V31'!F76/'V31'!$B$112, 'V32'!F76/'V32'!$B$112, 'V33'!F76/'V33'!$B$112, 'V34'!F76/'V34'!$B$112, 'V35'!F76/'V35'!$B$112, 'V36'!F76/'V36'!$B$112, 'V37'!F76/'V37'!$B$112)) * 100,"")</f>
        <v>100.41074637064409</v>
      </c>
      <c r="K76" s="18">
        <f>IFERROR(((G76/$B$112) / AVERAGE('V25'!G76/'V25'!$B$112, 'V26'!G76/'V26'!$B$112, 'V27'!G76/'V27'!$B$112, 'V28'!G76/'V28'!$B$112, 'V29'!G76/'V29'!$B$112, 'V30'!G76/'V30'!$B$112, 'V31'!G76/'V31'!$B$112, 'V32'!G76/'V32'!$B$112, 'V33'!G76/'V33'!$B$112, 'V34'!G76/'V34'!$B$112, 'V35'!G76/'V35'!$B$112, 'V36'!G76/'V36'!$B$112, 'V37'!G76/'V37'!$B$112)) * 100,"")</f>
        <v>75.143984273822397</v>
      </c>
    </row>
    <row r="77" spans="1:11">
      <c r="C77" s="2" t="s">
        <v>70</v>
      </c>
    </row>
    <row r="78" spans="1:11">
      <c r="C78" s="2" t="s">
        <v>71</v>
      </c>
    </row>
    <row r="79" spans="1:11">
      <c r="C79" s="2" t="s">
        <v>72</v>
      </c>
    </row>
    <row r="80" spans="1:11">
      <c r="C80" s="9" t="s">
        <v>19</v>
      </c>
      <c r="D80" s="10"/>
      <c r="E80" s="11">
        <f>SUM(E76:E79)</f>
        <v>69</v>
      </c>
      <c r="F80" s="11">
        <f>SUM(F76:F79)</f>
        <v>2205.2399999999998</v>
      </c>
      <c r="G80" s="11">
        <f>SUM(G76:G79)</f>
        <v>369.24</v>
      </c>
      <c r="H80" s="12">
        <f>IFERROR(G80/F80,"")</f>
        <v>0.16743755781683628</v>
      </c>
    </row>
    <row r="81" spans="1:11">
      <c r="B81" s="5" t="s">
        <v>20</v>
      </c>
      <c r="E81" s="16">
        <f>IFERROR((E80-('V37'!E80))/('V37'!E80),"")</f>
        <v>1.0294117647058822</v>
      </c>
      <c r="F81" s="16">
        <f>IFERROR((F80-('V37'!F80))/('V37'!F80),"")</f>
        <v>0.99237468830183218</v>
      </c>
      <c r="G81" s="16">
        <f>IFERROR((G80-('V37'!G80))/('V37'!G80),"")</f>
        <v>0.53952635090060042</v>
      </c>
      <c r="H81" s="16">
        <f>IFERROR(H80-('V37'!H80),"")</f>
        <v>-4.9251394515930885E-2</v>
      </c>
    </row>
    <row r="82" spans="1:11">
      <c r="B82" s="5" t="s">
        <v>21</v>
      </c>
      <c r="E82" s="13">
        <f>E80/$B$112</f>
        <v>3.5725380552966762E-3</v>
      </c>
      <c r="F82" s="13">
        <f>F80/$B$112</f>
        <v>0.11417831624728175</v>
      </c>
      <c r="G82" s="13">
        <f>G80/$B$112</f>
        <v>1.9117738428083255E-2</v>
      </c>
    </row>
    <row r="83" spans="1:11">
      <c r="B83" s="5" t="s">
        <v>22</v>
      </c>
      <c r="E83" s="8">
        <f>IFERROR((E82-'V37'!E82)/'V37'!E82,"")</f>
        <v>0.69033587339875391</v>
      </c>
      <c r="F83" s="8">
        <f>IFERROR((F82-'V37'!F82)/'V37'!F82,"")</f>
        <v>0.65948698408986106</v>
      </c>
      <c r="G83" s="8">
        <f>IFERROR((G82-'V37'!G82)/'V37'!G82,"")</f>
        <v>0.28230094268085099</v>
      </c>
    </row>
    <row r="84" spans="1:11">
      <c r="B84" s="5" t="s">
        <v>23</v>
      </c>
      <c r="E84" s="18">
        <f>(E82 / AVERAGE('V25'!E82,'V26'!E82,'V27'!E82,'V28'!E82,'V29'!E82,'V30'!E82,'V31'!E82,'V32'!E82,'V33'!E82,'V34'!E82,'V35'!E82,'V36'!E82,'V37'!E82)) * 100</f>
        <v>76.32361631893103</v>
      </c>
      <c r="F84" s="18">
        <f>(F82 / AVERAGE('V25'!F82,'V26'!F82,'V27'!F82,'V28'!F82,'V29'!F82,'V30'!F82,'V31'!F82,'V32'!F82,'V33'!F82,'V34'!F82,'V35'!F82,'V36'!F82,'V37'!F82)) * 100</f>
        <v>100.41074637064409</v>
      </c>
      <c r="G84" s="18">
        <f>(G82 / AVERAGE('V25'!G82,'V26'!G82,'V27'!G82,'V28'!G82,'V29'!G82,'V30'!G82,'V31'!G82,'V32'!G82,'V33'!G82,'V34'!G82,'V35'!G82,'V36'!G82,'V37'!G82)) * 100</f>
        <v>75.143984273822397</v>
      </c>
      <c r="H84" s="14">
        <f>IFERROR((G84*0.6)+(F84*0.4),"")</f>
        <v>85.250689112551072</v>
      </c>
    </row>
    <row r="85" spans="1:11">
      <c r="A85" s="1">
        <v>9</v>
      </c>
      <c r="C85" s="2" t="s">
        <v>73</v>
      </c>
      <c r="D85" s="2" t="s">
        <v>5</v>
      </c>
      <c r="E85" s="2" t="s">
        <v>6</v>
      </c>
      <c r="F85" s="2" t="s">
        <v>7</v>
      </c>
      <c r="G85" s="2" t="s">
        <v>8</v>
      </c>
      <c r="H85" s="2" t="s">
        <v>9</v>
      </c>
      <c r="I85" s="2" t="s">
        <v>10</v>
      </c>
      <c r="J85" s="2" t="s">
        <v>11</v>
      </c>
      <c r="K85" s="2" t="s">
        <v>12</v>
      </c>
    </row>
    <row r="86" spans="1:11">
      <c r="B86" s="6" t="s">
        <v>74</v>
      </c>
      <c r="C86" s="2" t="s">
        <v>75</v>
      </c>
      <c r="D86" s="5" t="s">
        <v>76</v>
      </c>
      <c r="E86" s="7">
        <v>321</v>
      </c>
      <c r="F86" s="7">
        <v>11556</v>
      </c>
      <c r="G86" s="7">
        <v>1932.42</v>
      </c>
      <c r="H86" s="8">
        <f>IFERROR(G86/F86,"")</f>
        <v>0.16722222222222222</v>
      </c>
      <c r="I86" s="18">
        <f>IFERROR(((E86/$B$112) / AVERAGE('V25'!E86/'V25'!$B$112, 'V26'!E86/'V26'!$B$112, 'V27'!E86/'V27'!$B$112, 'V28'!E86/'V28'!$B$112, 'V29'!E86/'V29'!$B$112, 'V30'!E86/'V30'!$B$112, 'V31'!E86/'V31'!$B$112, 'V32'!E86/'V32'!$B$112, 'V33'!E86/'V33'!$B$112, 'V34'!E86/'V34'!$B$112, 'V35'!E86/'V35'!$B$112, 'V36'!E86/'V36'!$B$112, 'V37'!E86/'V37'!$B$112)) * 100,"")</f>
        <v>136.38209424154516</v>
      </c>
      <c r="J86" s="18">
        <f>IFERROR(((F86/$B$112) / AVERAGE('V25'!F86/'V25'!$B$112, 'V26'!F86/'V26'!$B$112, 'V27'!F86/'V27'!$B$112, 'V28'!F86/'V28'!$B$112, 'V29'!F86/'V29'!$B$112, 'V30'!F86/'V30'!$B$112, 'V31'!F86/'V31'!$B$112, 'V32'!F86/'V32'!$B$112, 'V33'!F86/'V33'!$B$112, 'V34'!F86/'V34'!$B$112, 'V35'!F86/'V35'!$B$112, 'V36'!F86/'V36'!$B$112, 'V37'!F86/'V37'!$B$112)) * 100,"")</f>
        <v>136.39621186227123</v>
      </c>
      <c r="K86" s="18">
        <f>IFERROR(((G86/$B$112) / AVERAGE('V25'!G86/'V25'!$B$112, 'V26'!G86/'V26'!$B$112, 'V27'!G86/'V27'!$B$112, 'V28'!G86/'V28'!$B$112, 'V29'!G86/'V29'!$B$112, 'V30'!G86/'V30'!$B$112, 'V31'!G86/'V31'!$B$112, 'V32'!G86/'V32'!$B$112, 'V33'!G86/'V33'!$B$112, 'V34'!G86/'V34'!$B$112, 'V35'!G86/'V35'!$B$112, 'V36'!G86/'V36'!$B$112, 'V37'!G86/'V37'!$B$112)) * 100,"")</f>
        <v>135.66728636135193</v>
      </c>
    </row>
    <row r="87" spans="1:11">
      <c r="C87" s="2" t="s">
        <v>77</v>
      </c>
    </row>
    <row r="88" spans="1:11">
      <c r="C88" s="2" t="s">
        <v>78</v>
      </c>
    </row>
    <row r="89" spans="1:11">
      <c r="C89" s="2" t="s">
        <v>79</v>
      </c>
    </row>
    <row r="90" spans="1:11">
      <c r="C90" s="9" t="s">
        <v>19</v>
      </c>
      <c r="D90" s="10"/>
      <c r="E90" s="11">
        <f>SUM(E86:E89)</f>
        <v>321</v>
      </c>
      <c r="F90" s="11">
        <f>SUM(F86:F89)</f>
        <v>11556</v>
      </c>
      <c r="G90" s="11">
        <f>SUM(G86:G89)</f>
        <v>1932.42</v>
      </c>
      <c r="H90" s="12">
        <f>IFERROR(G90/F90,"")</f>
        <v>0.16722222222222222</v>
      </c>
    </row>
    <row r="91" spans="1:11">
      <c r="B91" s="5" t="s">
        <v>20</v>
      </c>
      <c r="E91" s="16">
        <f>IFERROR((E90-('V37'!E90))/('V37'!E90),"")</f>
        <v>0.41409691629955947</v>
      </c>
      <c r="F91" s="16">
        <f>IFERROR((F90-('V37'!F90))/('V37'!F90),"")</f>
        <v>0.41409691629955947</v>
      </c>
      <c r="G91" s="16">
        <f>IFERROR((G90-('V37'!G90))/('V37'!G90),"")</f>
        <v>0.41409691629955958</v>
      </c>
      <c r="H91" s="16">
        <f>IFERROR(H90-('V37'!H90),"")</f>
        <v>0</v>
      </c>
    </row>
    <row r="92" spans="1:11">
      <c r="B92" s="5" t="s">
        <v>21</v>
      </c>
      <c r="E92" s="13">
        <f>E90/$B$112</f>
        <v>1.6620068344206276E-2</v>
      </c>
      <c r="F92" s="13">
        <f>F90/$B$112</f>
        <v>0.59832246039142589</v>
      </c>
      <c r="G92" s="13">
        <f>G90/$B$112</f>
        <v>0.10005281143212177</v>
      </c>
    </row>
    <row r="93" spans="1:11">
      <c r="B93" s="5" t="s">
        <v>22</v>
      </c>
      <c r="E93" s="8">
        <f>IFERROR((E92-'V37'!E92)/'V37'!E92,"")</f>
        <v>0.17782836763544654</v>
      </c>
      <c r="F93" s="8">
        <f>IFERROR((F92-'V37'!F92)/'V37'!F92,"")</f>
        <v>0.17782836763544652</v>
      </c>
      <c r="G93" s="8">
        <f>IFERROR((G92-'V37'!G92)/'V37'!G92,"")</f>
        <v>0.17782836763544657</v>
      </c>
    </row>
    <row r="94" spans="1:11">
      <c r="B94" s="5" t="s">
        <v>23</v>
      </c>
      <c r="E94" s="18">
        <f>(E92 / AVERAGE('V25'!E92,'V26'!E92,'V27'!E92,'V28'!E92,'V29'!E92,'V30'!E92,'V31'!E92,'V32'!E92,'V33'!E92,'V34'!E92,'V35'!E92,'V36'!E92,'V37'!E92)) * 100</f>
        <v>136.38209424154516</v>
      </c>
      <c r="F94" s="18">
        <f>(F92 / AVERAGE('V25'!F92,'V26'!F92,'V27'!F92,'V28'!F92,'V29'!F92,'V30'!F92,'V31'!F92,'V32'!F92,'V33'!F92,'V34'!F92,'V35'!F92,'V36'!F92,'V37'!F92)) * 100</f>
        <v>136.39621186227123</v>
      </c>
      <c r="G94" s="18">
        <f>(G92 / AVERAGE('V25'!G92,'V26'!G92,'V27'!G92,'V28'!G92,'V29'!G92,'V30'!G92,'V31'!G92,'V32'!G92,'V33'!G92,'V34'!G92,'V35'!G92,'V36'!G92,'V37'!G92)) * 100</f>
        <v>135.66728636135193</v>
      </c>
      <c r="H94" s="14">
        <f>IFERROR((G94*0.6)+(F94*0.4),"")</f>
        <v>135.95885656171964</v>
      </c>
    </row>
    <row r="95" spans="1:11">
      <c r="A95" s="1">
        <v>10</v>
      </c>
      <c r="C95" s="2" t="s">
        <v>80</v>
      </c>
      <c r="D95" s="2" t="s">
        <v>5</v>
      </c>
      <c r="E95" s="2" t="s">
        <v>6</v>
      </c>
      <c r="F95" s="2" t="s">
        <v>7</v>
      </c>
      <c r="G95" s="2" t="s">
        <v>8</v>
      </c>
      <c r="H95" s="2" t="s">
        <v>9</v>
      </c>
      <c r="I95" s="2" t="s">
        <v>10</v>
      </c>
      <c r="J95" s="2" t="s">
        <v>11</v>
      </c>
      <c r="K95" s="2" t="s">
        <v>12</v>
      </c>
    </row>
    <row r="96" spans="1:11">
      <c r="B96" s="6" t="s">
        <v>81</v>
      </c>
      <c r="C96" s="2" t="s">
        <v>82</v>
      </c>
      <c r="D96" s="5" t="s">
        <v>83</v>
      </c>
      <c r="E96" s="7">
        <v>388</v>
      </c>
      <c r="F96" s="7">
        <v>13948.2</v>
      </c>
      <c r="G96" s="7">
        <v>2285.98</v>
      </c>
      <c r="H96" s="8">
        <f>IFERROR(G96/F96,"")</f>
        <v>0.16389068123485467</v>
      </c>
      <c r="I96" s="18">
        <f>IFERROR(((E96/$B$112) / AVERAGE('V25'!E96/'V25'!$B$112, 'V26'!E96/'V26'!$B$112, 'V27'!E96/'V27'!$B$112, 'V28'!E96/'V28'!$B$112, 'V29'!E96/'V29'!$B$112, 'V30'!E96/'V30'!$B$112, 'V31'!E96/'V31'!$B$112, 'V32'!E96/'V32'!$B$112, 'V33'!E96/'V33'!$B$112, 'V34'!E96/'V34'!$B$112, 'V35'!E96/'V35'!$B$112, 'V36'!E96/'V36'!$B$112, 'V37'!E96/'V37'!$B$112)) * 100,"")</f>
        <v>139.84777809528924</v>
      </c>
      <c r="J96" s="18">
        <f>IFERROR(((F96/$B$112) / AVERAGE('V25'!F96/'V25'!$B$112, 'V26'!F96/'V26'!$B$112, 'V27'!F96/'V27'!$B$112, 'V28'!F96/'V28'!$B$112, 'V29'!F96/'V29'!$B$112, 'V30'!F96/'V30'!$B$112, 'V31'!F96/'V31'!$B$112, 'V32'!F96/'V32'!$B$112, 'V33'!F96/'V33'!$B$112, 'V34'!F96/'V34'!$B$112, 'V35'!F96/'V35'!$B$112, 'V36'!F96/'V36'!$B$112, 'V37'!F96/'V37'!$B$112)) * 100,"")</f>
        <v>139.67280112553502</v>
      </c>
      <c r="K96" s="18">
        <f>IFERROR(((G96/$B$112) / AVERAGE('V25'!G96/'V25'!$B$112, 'V26'!G96/'V26'!$B$112, 'V27'!G96/'V27'!$B$112, 'V28'!G96/'V28'!$B$112, 'V29'!G96/'V29'!$B$112, 'V30'!G96/'V30'!$B$112, 'V31'!G96/'V31'!$B$112, 'V32'!G96/'V32'!$B$112, 'V33'!G96/'V33'!$B$112, 'V34'!G96/'V34'!$B$112, 'V35'!G96/'V35'!$B$112, 'V36'!G96/'V36'!$B$112, 'V37'!G96/'V37'!$B$112)) * 100,"")</f>
        <v>136.42000305319488</v>
      </c>
    </row>
    <row r="97" spans="2:8">
      <c r="C97" s="2" t="s">
        <v>84</v>
      </c>
    </row>
    <row r="98" spans="2:8">
      <c r="C98" s="2" t="s">
        <v>85</v>
      </c>
    </row>
    <row r="99" spans="2:8">
      <c r="C99" s="2" t="s">
        <v>86</v>
      </c>
    </row>
    <row r="100" spans="2:8">
      <c r="C100" s="9" t="s">
        <v>19</v>
      </c>
      <c r="D100" s="10"/>
      <c r="E100" s="11">
        <f>SUM(E96:E99)</f>
        <v>388</v>
      </c>
      <c r="F100" s="11">
        <f>SUM(F96:F99)</f>
        <v>13948.2</v>
      </c>
      <c r="G100" s="11">
        <f>SUM(G96:G99)</f>
        <v>2285.98</v>
      </c>
      <c r="H100" s="12">
        <f>IFERROR(G100/F100,"")</f>
        <v>0.16389068123485467</v>
      </c>
    </row>
    <row r="101" spans="2:8">
      <c r="B101" s="5" t="s">
        <v>20</v>
      </c>
      <c r="E101" s="16">
        <f>IFERROR((E100-('V37'!E100))/('V37'!E100),"")</f>
        <v>0.41605839416058393</v>
      </c>
      <c r="F101" s="16">
        <f>IFERROR((F100-('V37'!F100))/('V37'!F100),"")</f>
        <v>0.41430918050739185</v>
      </c>
      <c r="G101" s="16">
        <f>IFERROR((G100-('V37'!G100))/('V37'!G100),"")</f>
        <v>0.38739318314235771</v>
      </c>
      <c r="H101" s="16">
        <f>IFERROR(H100-('V37'!H100),"")</f>
        <v>-3.1795465033781778E-3</v>
      </c>
    </row>
    <row r="102" spans="2:8">
      <c r="B102" s="5" t="s">
        <v>21</v>
      </c>
      <c r="E102" s="13">
        <f>E100/$B$112</f>
        <v>2.0089054571813193E-2</v>
      </c>
      <c r="F102" s="13">
        <f>F100/$B$112</f>
        <v>0.72218080149114638</v>
      </c>
      <c r="G102" s="13">
        <f>G100/$B$112</f>
        <v>0.11835870353111733</v>
      </c>
    </row>
    <row r="103" spans="2:8">
      <c r="B103" s="5" t="s">
        <v>22</v>
      </c>
      <c r="E103" s="8">
        <f>IFERROR((E102-'V37'!E102)/'V37'!E102,"")</f>
        <v>0.17946212006116366</v>
      </c>
      <c r="F103" s="8">
        <f>IFERROR((F102-'V37'!F102)/'V37'!F102,"")</f>
        <v>0.17800516655392007</v>
      </c>
      <c r="G103" s="8">
        <f>IFERROR((G102-'V37'!G102)/'V37'!G102,"")</f>
        <v>0.15558631755260993</v>
      </c>
    </row>
    <row r="104" spans="2:8">
      <c r="B104" s="5" t="s">
        <v>23</v>
      </c>
      <c r="E104" s="18">
        <f>(E102 / AVERAGE('V25'!E102,'V26'!E102,'V27'!E102,'V28'!E102,'V29'!E102,'V30'!E102,'V31'!E102,'V32'!E102,'V33'!E102,'V34'!E102,'V35'!E102,'V36'!E102,'V37'!E102)) * 100</f>
        <v>139.84777809528924</v>
      </c>
      <c r="F104" s="18">
        <f>(F102 / AVERAGE('V25'!F102,'V26'!F102,'V27'!F102,'V28'!F102,'V29'!F102,'V30'!F102,'V31'!F102,'V32'!F102,'V33'!F102,'V34'!F102,'V35'!F102,'V36'!F102,'V37'!F102)) * 100</f>
        <v>139.67280112553502</v>
      </c>
      <c r="G104" s="18">
        <f>(G102 / AVERAGE('V25'!G102,'V26'!G102,'V27'!G102,'V28'!G102,'V29'!G102,'V30'!G102,'V31'!G102,'V32'!G102,'V33'!G102,'V34'!G102,'V35'!G102,'V36'!G102,'V37'!G102)) * 100</f>
        <v>136.42000305319488</v>
      </c>
      <c r="H104" s="14">
        <f>IFERROR((G104*0.6)+(F104*0.4),"")</f>
        <v>137.72112228213092</v>
      </c>
    </row>
    <row r="106" spans="2:8">
      <c r="B106" s="2" t="s">
        <v>87</v>
      </c>
      <c r="E106" s="15">
        <f>E10+E20+E30+E40+E50+E60+E70+E80+E90+E100</f>
        <v>3148</v>
      </c>
      <c r="F106" s="15">
        <f>F10+F20+F30+F40+F50+F60+F70+F80+F90+F100</f>
        <v>99363.999999999985</v>
      </c>
      <c r="G106" s="15">
        <f>G10+G20+G30+G40+G50+G60+G70+G80+G90+G100</f>
        <v>20754.719999999998</v>
      </c>
      <c r="H106" s="16">
        <f>IFERROR(G106/F106,"")</f>
        <v>0.20887564912845699</v>
      </c>
    </row>
    <row r="107" spans="2:8">
      <c r="B107" s="5" t="s">
        <v>88</v>
      </c>
      <c r="E107" s="16">
        <f>IFERROR((E106-'V37'!E106)/'V37'!E106,"")</f>
        <v>0.34644995722840033</v>
      </c>
      <c r="F107" s="16">
        <f>IFERROR((F106-'V37'!F106)/'V37'!F106,"")</f>
        <v>0.33023564411417172</v>
      </c>
      <c r="G107" s="16">
        <f>IFERROR((G106-'V37'!G106)/'V37'!G106,"")</f>
        <v>0.35939636878094755</v>
      </c>
      <c r="H107" s="16">
        <f>IFERROR(H106-'V37'!H106,"")</f>
        <v>4.480639667510028E-3</v>
      </c>
    </row>
    <row r="108" spans="2:8">
      <c r="B108" s="5" t="s">
        <v>21</v>
      </c>
      <c r="E108" s="13">
        <f>E106/$B$112</f>
        <v>0.16299057678368023</v>
      </c>
      <c r="F108" s="13">
        <f>F106/$B$112</f>
        <v>5.144661903282592</v>
      </c>
      <c r="G108" s="13">
        <f>G106/$B$112</f>
        <v>1.0745945945945945</v>
      </c>
    </row>
    <row r="109" spans="2:8">
      <c r="B109" s="5" t="s">
        <v>22</v>
      </c>
      <c r="E109" s="8">
        <f>IFERROR((E108-'V37'!E108)/'V37'!E108,"")</f>
        <v>0.12148392160781177</v>
      </c>
      <c r="F109" s="8">
        <f>IFERROR((F108-'V37'!F108)/'V37'!F108,"")</f>
        <v>0.10797871009965197</v>
      </c>
      <c r="G109" s="8">
        <f>IFERROR((G108-'V37'!G108)/'V37'!G108,"")</f>
        <v>0.13226723540328797</v>
      </c>
    </row>
    <row r="110" spans="2:8">
      <c r="B110" s="5" t="s">
        <v>23</v>
      </c>
      <c r="E110" s="18">
        <f>IFERROR((E108 / AVERAGE('V25'!E108,'V26'!E108,'V27'!E108,'V28'!E108,'V29'!E108,'V30'!E108,'V31'!E108,'V32'!E108,'V33'!E108,'V34'!E108,'V35'!E108,'V36'!E108,'V37'!E108)) * 100,"")</f>
        <v>119.18375566774657</v>
      </c>
      <c r="F110" s="18">
        <f>IFERROR((F108 / AVERAGE('V25'!F108,'V26'!F108,'V27'!F108,'V28'!F108,'V29'!F108,'V30'!F108,'V31'!F108,'V32'!F108,'V33'!F108,'V34'!F108,'V35'!F108,'V36'!F108,'V37'!F108)) * 100,"")</f>
        <v>111.59046877721704</v>
      </c>
      <c r="G110" s="18">
        <f>IFERROR((G108 / AVERAGE('V25'!G108,'V26'!G108,'V27'!G108,'V28'!G108,'V29'!G108,'V30'!G108,'V31'!G108,'V32'!G108,'V33'!G108,'V34'!G108,'V35'!G108,'V36'!G108,'V37'!G108)) * 100,"")</f>
        <v>127.04407798331157</v>
      </c>
      <c r="H110" s="14">
        <f>IFERROR((G110*0.6)+(F110*0.4),"")</f>
        <v>120.86263430087376</v>
      </c>
    </row>
    <row r="111" spans="2:8">
      <c r="B111" s="5" t="s">
        <v>89</v>
      </c>
      <c r="C111" s="5" t="s">
        <v>90</v>
      </c>
      <c r="D111" s="5" t="s">
        <v>91</v>
      </c>
    </row>
    <row r="112" spans="2:8">
      <c r="B112" s="17">
        <v>19314</v>
      </c>
      <c r="C112" s="17">
        <f>B112-'V37'!$B$112</f>
        <v>3227</v>
      </c>
      <c r="D112" s="19">
        <f>C112/'V37'!$B$112</f>
        <v>0.20059675514390501</v>
      </c>
    </row>
  </sheetData>
  <conditionalFormatting sqref="E11:G11">
    <cfRule type="cellIs" dxfId="109" priority="1" operator="lessThan">
      <formula>0</formula>
    </cfRule>
    <cfRule type="cellIs" dxfId="108" priority="2" operator="greaterThan">
      <formula>0</formula>
    </cfRule>
  </conditionalFormatting>
  <conditionalFormatting sqref="E21:G21">
    <cfRule type="cellIs" dxfId="107" priority="3" operator="lessThan">
      <formula>0</formula>
    </cfRule>
    <cfRule type="cellIs" dxfId="106" priority="4" operator="greaterThan">
      <formula>0</formula>
    </cfRule>
  </conditionalFormatting>
  <conditionalFormatting sqref="E31:G31">
    <cfRule type="cellIs" dxfId="105" priority="5" operator="lessThan">
      <formula>0</formula>
    </cfRule>
    <cfRule type="cellIs" dxfId="104" priority="6" operator="greaterThan">
      <formula>0</formula>
    </cfRule>
  </conditionalFormatting>
  <conditionalFormatting sqref="E41:G41">
    <cfRule type="cellIs" dxfId="103" priority="7" operator="lessThan">
      <formula>0</formula>
    </cfRule>
    <cfRule type="cellIs" dxfId="102" priority="8" operator="greaterThan">
      <formula>0</formula>
    </cfRule>
  </conditionalFormatting>
  <conditionalFormatting sqref="E51:G51">
    <cfRule type="cellIs" dxfId="101" priority="9" operator="lessThan">
      <formula>0</formula>
    </cfRule>
    <cfRule type="cellIs" dxfId="100" priority="10" operator="greaterThan">
      <formula>0</formula>
    </cfRule>
  </conditionalFormatting>
  <conditionalFormatting sqref="E61:G61">
    <cfRule type="cellIs" dxfId="99" priority="11" operator="lessThan">
      <formula>0</formula>
    </cfRule>
    <cfRule type="cellIs" dxfId="98" priority="12" operator="greaterThan">
      <formula>0</formula>
    </cfRule>
  </conditionalFormatting>
  <conditionalFormatting sqref="E71:G71">
    <cfRule type="cellIs" dxfId="97" priority="13" operator="lessThan">
      <formula>0</formula>
    </cfRule>
    <cfRule type="cellIs" dxfId="96" priority="14" operator="greaterThan">
      <formula>0</formula>
    </cfRule>
  </conditionalFormatting>
  <conditionalFormatting sqref="E81:G81">
    <cfRule type="cellIs" dxfId="95" priority="15" operator="lessThan">
      <formula>0</formula>
    </cfRule>
    <cfRule type="cellIs" dxfId="94" priority="16" operator="greaterThan">
      <formula>0</formula>
    </cfRule>
  </conditionalFormatting>
  <conditionalFormatting sqref="E91:G91">
    <cfRule type="cellIs" dxfId="93" priority="17" operator="lessThan">
      <formula>0</formula>
    </cfRule>
    <cfRule type="cellIs" dxfId="92" priority="18" operator="greaterThan">
      <formula>0</formula>
    </cfRule>
  </conditionalFormatting>
  <conditionalFormatting sqref="E101:G101">
    <cfRule type="cellIs" dxfId="91" priority="19" operator="lessThan">
      <formula>0</formula>
    </cfRule>
    <cfRule type="cellIs" dxfId="90" priority="20" operator="greaterThan">
      <formula>0</formula>
    </cfRule>
  </conditionalFormatting>
  <conditionalFormatting sqref="E107:G107">
    <cfRule type="cellIs" dxfId="89" priority="21" operator="lessThan">
      <formula>0</formula>
    </cfRule>
    <cfRule type="cellIs" dxfId="88" priority="22" operator="greaterThan">
      <formula>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12"/>
  <sheetViews>
    <sheetView zoomScaleNormal="100" zoomScaleSheetLayoutView="100" workbookViewId="0"/>
  </sheetViews>
  <sheetFormatPr defaultRowHeight="15"/>
  <cols>
    <col min="2" max="2" width="16" customWidth="1"/>
    <col min="4" max="4" width="26" customWidth="1"/>
    <col min="5" max="5" width="10" customWidth="1"/>
    <col min="6" max="7" width="12" customWidth="1"/>
    <col min="8" max="8" width="10" customWidth="1"/>
    <col min="9" max="11" width="12" customWidth="1"/>
  </cols>
  <sheetData>
    <row r="1" spans="1:11">
      <c r="A1" s="1" t="s">
        <v>0</v>
      </c>
    </row>
    <row r="3" spans="1:11">
      <c r="C3" s="2" t="s">
        <v>130</v>
      </c>
    </row>
    <row r="4" spans="1:11">
      <c r="C4" s="3" t="s">
        <v>131</v>
      </c>
      <c r="I4" s="4">
        <v>39</v>
      </c>
      <c r="J4" s="5" t="s">
        <v>3</v>
      </c>
    </row>
    <row r="5" spans="1:11">
      <c r="A5" s="1">
        <v>1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</row>
    <row r="6" spans="1:11">
      <c r="B6" s="6" t="s">
        <v>132</v>
      </c>
      <c r="C6" s="2" t="s">
        <v>14</v>
      </c>
      <c r="D6" s="5" t="s">
        <v>133</v>
      </c>
      <c r="E6" s="7">
        <v>134</v>
      </c>
      <c r="F6" s="7">
        <v>10612.8</v>
      </c>
      <c r="G6" s="7">
        <v>2319.54</v>
      </c>
      <c r="H6" s="8">
        <f>IFERROR(G6/F6,"")</f>
        <v>0.21856060606060607</v>
      </c>
      <c r="I6" s="18">
        <f>IFERROR(((E6/$B$112) / AVERAGE('V25'!E6/'V25'!$B$112, 'V26'!E6/'V26'!$B$112, 'V27'!E6/'V27'!$B$112, 'V28'!E6/'V28'!$B$112, 'V29'!E6/'V29'!$B$112, 'V30'!E6/'V30'!$B$112, 'V31'!E6/'V31'!$B$112, 'V32'!E6/'V32'!$B$112, 'V33'!E6/'V33'!$B$112, 'V34'!E6/'V34'!$B$112, 'V35'!E6/'V35'!$B$112, 'V36'!E6/'V36'!$B$112, 'V37'!E6/'V37'!$B$112, 'V38'!E6/'V38'!$B$112)) * 100,"")</f>
        <v>105.52940783781004</v>
      </c>
      <c r="J6" s="18">
        <f>IFERROR(((F6/$B$112) / AVERAGE('V25'!F6/'V25'!$B$112, 'V26'!F6/'V26'!$B$112, 'V27'!F6/'V27'!$B$112, 'V28'!F6/'V28'!$B$112, 'V29'!F6/'V29'!$B$112, 'V30'!F6/'V30'!$B$112, 'V31'!F6/'V31'!$B$112, 'V32'!F6/'V32'!$B$112, 'V33'!F6/'V33'!$B$112, 'V34'!F6/'V34'!$B$112, 'V35'!F6/'V35'!$B$112, 'V36'!F6/'V36'!$B$112, 'V37'!F6/'V37'!$B$112, 'V38'!F6/'V38'!$B$112)) * 100,"")</f>
        <v>112.21122878753378</v>
      </c>
      <c r="K6" s="18">
        <f>IFERROR(((G6/$B$112) / AVERAGE('V25'!G6/'V25'!$B$112, 'V26'!G6/'V26'!$B$112, 'V27'!G6/'V27'!$B$112, 'V28'!G6/'V28'!$B$112, 'V29'!G6/'V29'!$B$112, 'V30'!G6/'V30'!$B$112, 'V31'!G6/'V31'!$B$112, 'V32'!G6/'V32'!$B$112, 'V33'!G6/'V33'!$B$112, 'V34'!G6/'V34'!$B$112, 'V35'!G6/'V35'!$B$112, 'V36'!G6/'V36'!$B$112, 'V37'!G6/'V37'!$B$112, 'V38'!G6/'V38'!$B$112)) * 100,"")</f>
        <v>111.92654663907784</v>
      </c>
    </row>
    <row r="7" spans="1:11">
      <c r="C7" s="2" t="s">
        <v>16</v>
      </c>
    </row>
    <row r="8" spans="1:11">
      <c r="C8" s="2" t="s">
        <v>17</v>
      </c>
    </row>
    <row r="9" spans="1:11">
      <c r="C9" s="2" t="s">
        <v>18</v>
      </c>
    </row>
    <row r="10" spans="1:11">
      <c r="C10" s="9" t="s">
        <v>19</v>
      </c>
      <c r="D10" s="10"/>
      <c r="E10" s="11">
        <f>SUM(E6:E9)</f>
        <v>134</v>
      </c>
      <c r="F10" s="11">
        <f>SUM(F6:F9)</f>
        <v>10612.8</v>
      </c>
      <c r="G10" s="11">
        <f>SUM(G6:G9)</f>
        <v>2319.54</v>
      </c>
      <c r="H10" s="12">
        <f>IFERROR(G10/F10,"")</f>
        <v>0.21856060606060607</v>
      </c>
    </row>
    <row r="11" spans="1:11">
      <c r="B11" s="5" t="s">
        <v>20</v>
      </c>
      <c r="E11" s="16">
        <f>IFERROR((E10-('V38'!E10))/('V38'!E10),"")</f>
        <v>-0.12987012987012986</v>
      </c>
      <c r="F11" s="16">
        <f>IFERROR((F10-('V38'!F10))/('V38'!F10),"")</f>
        <v>-0.12987012987012989</v>
      </c>
      <c r="G11" s="16">
        <f>IFERROR((G10-('V38'!G10))/('V38'!G10),"")</f>
        <v>-0.1349906023449387</v>
      </c>
      <c r="H11" s="16">
        <f>IFERROR(H10-('V38'!H10),"")</f>
        <v>-1.2937819756001501E-3</v>
      </c>
    </row>
    <row r="12" spans="1:11">
      <c r="B12" s="5" t="s">
        <v>21</v>
      </c>
      <c r="E12" s="13">
        <f>E10/$B$112</f>
        <v>7.9766652776951004E-3</v>
      </c>
      <c r="F12" s="13">
        <f>F10/$B$112</f>
        <v>0.631751889993452</v>
      </c>
      <c r="G12" s="13">
        <f>G10/$B$112</f>
        <v>0.13807607595690219</v>
      </c>
    </row>
    <row r="13" spans="1:11">
      <c r="B13" s="5" t="s">
        <v>22</v>
      </c>
      <c r="E13" s="8">
        <f>IFERROR((E12-'V38'!E12)/'V38'!E12,"")</f>
        <v>3.9813748963099104E-4</v>
      </c>
      <c r="F13" s="8">
        <f>IFERROR((F12-'V38'!F12)/'V38'!F12,"")</f>
        <v>3.9813748963118668E-4</v>
      </c>
      <c r="G13" s="8">
        <f>IFERROR((G12-'V38'!G12)/'V38'!G12,"")</f>
        <v>-5.4889275367668751E-3</v>
      </c>
    </row>
    <row r="14" spans="1:11">
      <c r="B14" s="5" t="s">
        <v>23</v>
      </c>
      <c r="E14" s="18">
        <f>(E12 / AVERAGE('V25'!E12,'V26'!E12,'V27'!E12,'V28'!E12,'V29'!E12,'V30'!E12,'V31'!E12,'V32'!E12,'V33'!E12,'V34'!E12,'V35'!E12,'V36'!E12,'V37'!E12,'V38'!E12)) * 100</f>
        <v>105.52940783781004</v>
      </c>
      <c r="F14" s="18">
        <f>(F12 / AVERAGE('V25'!F12,'V26'!F12,'V27'!F12,'V28'!F12,'V29'!F12,'V30'!F12,'V31'!F12,'V32'!F12,'V33'!F12,'V34'!F12,'V35'!F12,'V36'!F12,'V37'!F12,'V38'!F12)) * 100</f>
        <v>112.21122878753378</v>
      </c>
      <c r="G14" s="18">
        <f>(G12 / AVERAGE('V25'!G12,'V26'!G12,'V27'!G12,'V28'!G12,'V29'!G12,'V30'!G12,'V31'!G12,'V32'!G12,'V33'!G12,'V34'!G12,'V35'!G12,'V36'!G12,'V37'!G12,'V38'!G12)) * 100</f>
        <v>111.92654663907784</v>
      </c>
      <c r="H14" s="14">
        <f>IFERROR((G14*0.6)+(F14*0.4),"")</f>
        <v>112.04041949846021</v>
      </c>
    </row>
    <row r="15" spans="1:11">
      <c r="A15" s="1">
        <v>2</v>
      </c>
      <c r="C15" s="2" t="s">
        <v>24</v>
      </c>
      <c r="D15" s="2" t="s">
        <v>5</v>
      </c>
      <c r="E15" s="2" t="s">
        <v>6</v>
      </c>
      <c r="F15" s="2" t="s">
        <v>7</v>
      </c>
      <c r="G15" s="2" t="s">
        <v>8</v>
      </c>
      <c r="H15" s="2" t="s">
        <v>9</v>
      </c>
      <c r="I15" s="2" t="s">
        <v>10</v>
      </c>
      <c r="J15" s="2" t="s">
        <v>11</v>
      </c>
      <c r="K15" s="2" t="s">
        <v>12</v>
      </c>
    </row>
    <row r="16" spans="1:11">
      <c r="B16" s="6" t="s">
        <v>25</v>
      </c>
      <c r="C16" s="2" t="s">
        <v>26</v>
      </c>
      <c r="D16" s="5" t="s">
        <v>134</v>
      </c>
      <c r="E16" s="7">
        <v>238</v>
      </c>
      <c r="F16" s="7">
        <v>4444.4399999999996</v>
      </c>
      <c r="G16" s="7">
        <v>1044.48</v>
      </c>
      <c r="H16" s="8">
        <f>IFERROR(G16/F16,"")</f>
        <v>0.23500823500823503</v>
      </c>
      <c r="I16" s="18">
        <f>IFERROR(((E16/$B$112) / AVERAGE('V25'!E16/'V25'!$B$112, 'V26'!E16/'V26'!$B$112, 'V27'!E16/'V27'!$B$112, 'V28'!E16/'V28'!$B$112, 'V29'!E16/'V29'!$B$112, 'V30'!E16/'V30'!$B$112, 'V31'!E16/'V31'!$B$112, 'V32'!E16/'V32'!$B$112, 'V33'!E16/'V33'!$B$112, 'V34'!E16/'V34'!$B$112, 'V35'!E16/'V35'!$B$112, 'V36'!E16/'V36'!$B$112, 'V37'!E16/'V37'!$B$112, 'V38'!E16/'V38'!$B$112)) * 100,"")</f>
        <v>129.29709409769191</v>
      </c>
      <c r="J16" s="18">
        <f>IFERROR(((F16/$B$112) / AVERAGE('V25'!F16/'V25'!$B$112, 'V26'!F16/'V26'!$B$112, 'V27'!F16/'V27'!$B$112, 'V28'!F16/'V28'!$B$112, 'V29'!F16/'V29'!$B$112, 'V30'!F16/'V30'!$B$112, 'V31'!F16/'V31'!$B$112, 'V32'!F16/'V32'!$B$112, 'V33'!F16/'V33'!$B$112, 'V34'!F16/'V34'!$B$112, 'V35'!F16/'V35'!$B$112, 'V36'!F16/'V36'!$B$112, 'V37'!F16/'V37'!$B$112, 'V38'!F16/'V38'!$B$112)) * 100,"")</f>
        <v>133.08512895590613</v>
      </c>
      <c r="K16" s="18">
        <f>IFERROR(((G16/$B$112) / AVERAGE('V25'!G16/'V25'!$B$112, 'V26'!G16/'V26'!$B$112, 'V27'!G16/'V27'!$B$112, 'V28'!G16/'V28'!$B$112, 'V29'!G16/'V29'!$B$112, 'V30'!G16/'V30'!$B$112, 'V31'!G16/'V31'!$B$112, 'V32'!G16/'V32'!$B$112, 'V33'!G16/'V33'!$B$112, 'V34'!G16/'V34'!$B$112, 'V35'!G16/'V35'!$B$112, 'V36'!G16/'V36'!$B$112, 'V37'!G16/'V37'!$B$112, 'V38'!G16/'V38'!$B$112)) * 100,"")</f>
        <v>177.51258701751428</v>
      </c>
    </row>
    <row r="17" spans="1:11">
      <c r="C17" s="2" t="s">
        <v>28</v>
      </c>
    </row>
    <row r="18" spans="1:11">
      <c r="C18" s="2" t="s">
        <v>29</v>
      </c>
    </row>
    <row r="19" spans="1:11">
      <c r="C19" s="2" t="s">
        <v>30</v>
      </c>
    </row>
    <row r="20" spans="1:11">
      <c r="C20" s="9" t="s">
        <v>19</v>
      </c>
      <c r="D20" s="10"/>
      <c r="E20" s="11">
        <f>SUM(E16:E19)</f>
        <v>238</v>
      </c>
      <c r="F20" s="11">
        <f>SUM(F16:F19)</f>
        <v>4444.4399999999996</v>
      </c>
      <c r="G20" s="11">
        <f>SUM(G16:G19)</f>
        <v>1044.48</v>
      </c>
      <c r="H20" s="12">
        <f>IFERROR(G20/F20,"")</f>
        <v>0.23500823500823503</v>
      </c>
    </row>
    <row r="21" spans="1:11">
      <c r="B21" s="5" t="s">
        <v>20</v>
      </c>
      <c r="E21" s="16">
        <f>IFERROR((E20-('V38'!E20))/('V38'!E20),"")</f>
        <v>-0.1407942238267148</v>
      </c>
      <c r="F21" s="16">
        <f>IFERROR((F20-('V38'!F20))/('V38'!F20),"")</f>
        <v>-0.14019407558733407</v>
      </c>
      <c r="G21" s="16">
        <f>IFERROR((G20-('V38'!G20))/('V38'!G20),"")</f>
        <v>-0.13291659402784342</v>
      </c>
      <c r="H21" s="16">
        <f>IFERROR(H20-('V38'!H20),"")</f>
        <v>1.9724378125808573E-3</v>
      </c>
    </row>
    <row r="22" spans="1:11">
      <c r="B22" s="5" t="s">
        <v>21</v>
      </c>
      <c r="E22" s="13">
        <f>E20/$B$112</f>
        <v>1.4167509970831597E-2</v>
      </c>
      <c r="F22" s="13">
        <f>F20/$B$112</f>
        <v>0.26456574796118815</v>
      </c>
      <c r="G22" s="13">
        <f>G20/$B$112</f>
        <v>6.2175129471992378E-2</v>
      </c>
    </row>
    <row r="23" spans="1:11">
      <c r="B23" s="5" t="s">
        <v>22</v>
      </c>
      <c r="E23" s="8">
        <f>IFERROR((E22-'V38'!E22)/'V38'!E22,"")</f>
        <v>-1.216141669082502E-2</v>
      </c>
      <c r="F23" s="8">
        <f>IFERROR((F22-'V38'!F22)/'V38'!F22,"")</f>
        <v>-1.1471419482931813E-2</v>
      </c>
      <c r="G23" s="8">
        <f>IFERROR((G22-'V38'!G22)/'V38'!G22,"")</f>
        <v>-3.104416754197824E-3</v>
      </c>
    </row>
    <row r="24" spans="1:11">
      <c r="B24" s="5" t="s">
        <v>23</v>
      </c>
      <c r="E24" s="18">
        <f>(E22 / AVERAGE('V25'!E22,'V26'!E22,'V27'!E22,'V28'!E22,'V29'!E22,'V30'!E22,'V31'!E22,'V32'!E22,'V33'!E22,'V34'!E22,'V35'!E22,'V36'!E22,'V37'!E22,'V38'!E22)) * 100</f>
        <v>129.29709409769191</v>
      </c>
      <c r="F24" s="18">
        <f>(F22 / AVERAGE('V25'!F22,'V26'!F22,'V27'!F22,'V28'!F22,'V29'!F22,'V30'!F22,'V31'!F22,'V32'!F22,'V33'!F22,'V34'!F22,'V35'!F22,'V36'!F22,'V37'!F22,'V38'!F22)) * 100</f>
        <v>133.08512895590613</v>
      </c>
      <c r="G24" s="18">
        <f>(G22 / AVERAGE('V25'!G22,'V26'!G22,'V27'!G22,'V28'!G22,'V29'!G22,'V30'!G22,'V31'!G22,'V32'!G22,'V33'!G22,'V34'!G22,'V35'!G22,'V36'!G22,'V37'!G22,'V38'!G22)) * 100</f>
        <v>177.51258701751428</v>
      </c>
      <c r="H24" s="14">
        <f>IFERROR((G24*0.6)+(F24*0.4),"")</f>
        <v>159.74160379287102</v>
      </c>
    </row>
    <row r="25" spans="1:11">
      <c r="A25" s="1">
        <v>3</v>
      </c>
      <c r="C25" s="2" t="s">
        <v>31</v>
      </c>
      <c r="D25" s="2" t="s">
        <v>5</v>
      </c>
      <c r="E25" s="2" t="s">
        <v>6</v>
      </c>
      <c r="F25" s="2" t="s">
        <v>7</v>
      </c>
      <c r="G25" s="2" t="s">
        <v>8</v>
      </c>
      <c r="H25" s="2" t="s">
        <v>9</v>
      </c>
      <c r="I25" s="2" t="s">
        <v>10</v>
      </c>
      <c r="J25" s="2" t="s">
        <v>11</v>
      </c>
      <c r="K25" s="2" t="s">
        <v>12</v>
      </c>
    </row>
    <row r="26" spans="1:11">
      <c r="B26" s="6" t="s">
        <v>32</v>
      </c>
      <c r="C26" s="2" t="s">
        <v>33</v>
      </c>
      <c r="D26" s="5" t="s">
        <v>34</v>
      </c>
      <c r="E26" s="7">
        <v>629</v>
      </c>
      <c r="F26" s="7">
        <v>14859.74</v>
      </c>
      <c r="G26" s="7">
        <v>3265.16</v>
      </c>
      <c r="H26" s="8">
        <f>IFERROR(G26/F26,"")</f>
        <v>0.21973197377612258</v>
      </c>
      <c r="I26" s="18">
        <f>IFERROR(((E26/$B$112) / AVERAGE('V25'!E26/'V25'!$B$112, 'V26'!E26/'V26'!$B$112, 'V27'!E26/'V27'!$B$112, 'V28'!E26/'V28'!$B$112, 'V29'!E26/'V29'!$B$112, 'V30'!E26/'V30'!$B$112, 'V31'!E26/'V31'!$B$112, 'V32'!E26/'V32'!$B$112, 'V33'!E26/'V33'!$B$112, 'V34'!E26/'V34'!$B$112, 'V35'!E26/'V35'!$B$112, 'V36'!E26/'V36'!$B$112, 'V37'!E26/'V37'!$B$112, 'V38'!E26/'V38'!$B$112)) * 100,"")</f>
        <v>116.10607500618516</v>
      </c>
      <c r="J26" s="18">
        <f>IFERROR(((F26/$B$112) / AVERAGE('V25'!F26/'V25'!$B$112, 'V26'!F26/'V26'!$B$112, 'V27'!F26/'V27'!$B$112, 'V28'!F26/'V28'!$B$112, 'V29'!F26/'V29'!$B$112, 'V30'!F26/'V30'!$B$112, 'V31'!F26/'V31'!$B$112, 'V32'!F26/'V32'!$B$112, 'V33'!F26/'V33'!$B$112, 'V34'!F26/'V34'!$B$112, 'V35'!F26/'V35'!$B$112, 'V36'!F26/'V36'!$B$112, 'V37'!F26/'V37'!$B$112, 'V38'!F26/'V38'!$B$112)) * 100,"")</f>
        <v>116.09139221876812</v>
      </c>
      <c r="K26" s="18">
        <f>IFERROR(((G26/$B$112) / AVERAGE('V25'!G26/'V25'!$B$112, 'V26'!G26/'V26'!$B$112, 'V27'!G26/'V27'!$B$112, 'V28'!G26/'V28'!$B$112, 'V29'!G26/'V29'!$B$112, 'V30'!G26/'V30'!$B$112, 'V31'!G26/'V31'!$B$112, 'V32'!G26/'V32'!$B$112, 'V33'!G26/'V33'!$B$112, 'V34'!G26/'V34'!$B$112, 'V35'!G26/'V35'!$B$112, 'V36'!G26/'V36'!$B$112, 'V37'!G26/'V37'!$B$112, 'V38'!G26/'V38'!$B$112)) * 100,"")</f>
        <v>116.11023328854935</v>
      </c>
    </row>
    <row r="27" spans="1:11">
      <c r="C27" s="2" t="s">
        <v>35</v>
      </c>
    </row>
    <row r="28" spans="1:11">
      <c r="C28" s="2" t="s">
        <v>36</v>
      </c>
    </row>
    <row r="29" spans="1:11">
      <c r="C29" s="2" t="s">
        <v>37</v>
      </c>
    </row>
    <row r="30" spans="1:11">
      <c r="C30" s="9" t="s">
        <v>19</v>
      </c>
      <c r="D30" s="10"/>
      <c r="E30" s="11">
        <f>SUM(E26:E29)</f>
        <v>629</v>
      </c>
      <c r="F30" s="11">
        <f>SUM(F26:F29)</f>
        <v>14859.74</v>
      </c>
      <c r="G30" s="11">
        <f>SUM(G26:G29)</f>
        <v>3265.16</v>
      </c>
      <c r="H30" s="12">
        <f>IFERROR(G30/F30,"")</f>
        <v>0.21973197377612258</v>
      </c>
    </row>
    <row r="31" spans="1:11">
      <c r="B31" s="5" t="s">
        <v>20</v>
      </c>
      <c r="E31" s="16">
        <f>IFERROR((E30-('V38'!E30))/('V38'!E30),"")</f>
        <v>-0.21571072319201995</v>
      </c>
      <c r="F31" s="16">
        <f>IFERROR((F30-('V38'!F30))/('V38'!F30),"")</f>
        <v>-0.21564203936637966</v>
      </c>
      <c r="G31" s="16">
        <f>IFERROR((G30-('V38'!G30))/('V38'!G30),"")</f>
        <v>-0.21403262146392188</v>
      </c>
      <c r="H31" s="16">
        <f>IFERROR(H30-('V38'!H30),"")</f>
        <v>4.4994306633483472E-4</v>
      </c>
    </row>
    <row r="32" spans="1:11">
      <c r="B32" s="5" t="s">
        <v>21</v>
      </c>
      <c r="E32" s="13">
        <f>E30/$B$112</f>
        <v>3.744270492291208E-2</v>
      </c>
      <c r="F32" s="13">
        <f>F30/$B$112</f>
        <v>0.88456098577296272</v>
      </c>
      <c r="G32" s="13">
        <f>G30/$B$112</f>
        <v>0.19436633132924577</v>
      </c>
    </row>
    <row r="33" spans="1:11">
      <c r="B33" s="5" t="s">
        <v>22</v>
      </c>
      <c r="E33" s="8">
        <f>IFERROR((E32-'V38'!E32)/'V38'!E32,"")</f>
        <v>-9.8293761993611145E-2</v>
      </c>
      <c r="F33" s="8">
        <f>IFERROR((F32-'V38'!F32)/'V38'!F32,"")</f>
        <v>-9.8214795423671425E-2</v>
      </c>
      <c r="G33" s="8">
        <f>IFERROR((G32-'V38'!G32)/'V38'!G32,"")</f>
        <v>-9.6364429487123524E-2</v>
      </c>
    </row>
    <row r="34" spans="1:11">
      <c r="B34" s="5" t="s">
        <v>23</v>
      </c>
      <c r="E34" s="18">
        <f>(E32 / AVERAGE('V25'!E32,'V26'!E32,'V27'!E32,'V28'!E32,'V29'!E32,'V30'!E32,'V31'!E32,'V32'!E32,'V33'!E32,'V34'!E32,'V35'!E32,'V36'!E32,'V37'!E32,'V38'!E32)) * 100</f>
        <v>116.10607500618516</v>
      </c>
      <c r="F34" s="18">
        <f>(F32 / AVERAGE('V25'!F32,'V26'!F32,'V27'!F32,'V28'!F32,'V29'!F32,'V30'!F32,'V31'!F32,'V32'!F32,'V33'!F32,'V34'!F32,'V35'!F32,'V36'!F32,'V37'!F32,'V38'!F32)) * 100</f>
        <v>116.09139221876812</v>
      </c>
      <c r="G34" s="18">
        <f>(G32 / AVERAGE('V25'!G32,'V26'!G32,'V27'!G32,'V28'!G32,'V29'!G32,'V30'!G32,'V31'!G32,'V32'!G32,'V33'!G32,'V34'!G32,'V35'!G32,'V36'!G32,'V37'!G32,'V38'!G32)) * 100</f>
        <v>116.11023328854935</v>
      </c>
      <c r="H34" s="14">
        <f>IFERROR((G34*0.6)+(F34*0.4),"")</f>
        <v>116.10269686063685</v>
      </c>
    </row>
    <row r="35" spans="1:11">
      <c r="A35" s="1">
        <v>4</v>
      </c>
      <c r="C35" s="2" t="s">
        <v>38</v>
      </c>
      <c r="D35" s="2" t="s">
        <v>5</v>
      </c>
      <c r="E35" s="2" t="s">
        <v>6</v>
      </c>
      <c r="F35" s="2" t="s">
        <v>7</v>
      </c>
      <c r="G35" s="2" t="s">
        <v>8</v>
      </c>
      <c r="H35" s="2" t="s">
        <v>9</v>
      </c>
      <c r="I35" s="2" t="s">
        <v>10</v>
      </c>
      <c r="J35" s="2" t="s">
        <v>11</v>
      </c>
      <c r="K35" s="2" t="s">
        <v>12</v>
      </c>
    </row>
    <row r="36" spans="1:11">
      <c r="B36" s="6" t="s">
        <v>39</v>
      </c>
      <c r="C36" s="2" t="s">
        <v>40</v>
      </c>
      <c r="D36" s="5" t="s">
        <v>41</v>
      </c>
      <c r="E36" s="7">
        <v>542</v>
      </c>
      <c r="F36" s="7">
        <v>12799.5</v>
      </c>
      <c r="G36" s="7">
        <v>2804.7</v>
      </c>
      <c r="H36" s="8">
        <f>IFERROR(G36/F36,"")</f>
        <v>0.21912574709949606</v>
      </c>
      <c r="I36" s="18">
        <f>IFERROR(((E36/$B$112) / AVERAGE('V25'!E36/'V25'!$B$112, 'V26'!E36/'V26'!$B$112, 'V27'!E36/'V27'!$B$112, 'V28'!E36/'V28'!$B$112, 'V29'!E36/'V29'!$B$112, 'V30'!E36/'V30'!$B$112, 'V31'!E36/'V31'!$B$112, 'V32'!E36/'V32'!$B$112, 'V33'!E36/'V33'!$B$112, 'V34'!E36/'V34'!$B$112, 'V35'!E36/'V35'!$B$112, 'V36'!E36/'V36'!$B$112, 'V37'!E36/'V37'!$B$112, 'V38'!E36/'V38'!$B$112)) * 100,"")</f>
        <v>114.5203335588953</v>
      </c>
      <c r="J36" s="18">
        <f>IFERROR(((F36/$B$112) / AVERAGE('V25'!F36/'V25'!$B$112, 'V26'!F36/'V26'!$B$112, 'V27'!F36/'V27'!$B$112, 'V28'!F36/'V28'!$B$112, 'V29'!F36/'V29'!$B$112, 'V30'!F36/'V30'!$B$112, 'V31'!F36/'V31'!$B$112, 'V32'!F36/'V32'!$B$112, 'V33'!F36/'V33'!$B$112, 'V34'!F36/'V34'!$B$112, 'V35'!F36/'V35'!$B$112, 'V36'!F36/'V36'!$B$112, 'V37'!F36/'V37'!$B$112, 'V38'!F36/'V38'!$B$112)) * 100,"")</f>
        <v>114.48469656072409</v>
      </c>
      <c r="K36" s="18">
        <f>IFERROR(((G36/$B$112) / AVERAGE('V25'!G36/'V25'!$B$112, 'V26'!G36/'V26'!$B$112, 'V27'!G36/'V27'!$B$112, 'V28'!G36/'V28'!$B$112, 'V29'!G36/'V29'!$B$112, 'V30'!G36/'V30'!$B$112, 'V31'!G36/'V31'!$B$112, 'V32'!G36/'V32'!$B$112, 'V33'!G36/'V33'!$B$112, 'V34'!G36/'V34'!$B$112, 'V35'!G36/'V35'!$B$112, 'V36'!G36/'V36'!$B$112, 'V37'!G36/'V37'!$B$112, 'V38'!G36/'V38'!$B$112)) * 100,"")</f>
        <v>112.67262526543658</v>
      </c>
    </row>
    <row r="37" spans="1:11">
      <c r="C37" s="2" t="s">
        <v>42</v>
      </c>
    </row>
    <row r="38" spans="1:11">
      <c r="C38" s="2" t="s">
        <v>43</v>
      </c>
    </row>
    <row r="39" spans="1:11">
      <c r="C39" s="2" t="s">
        <v>44</v>
      </c>
    </row>
    <row r="40" spans="1:11">
      <c r="C40" s="9" t="s">
        <v>19</v>
      </c>
      <c r="D40" s="10"/>
      <c r="E40" s="11">
        <f>SUM(E36:E39)</f>
        <v>542</v>
      </c>
      <c r="F40" s="11">
        <f>SUM(F36:F39)</f>
        <v>12799.5</v>
      </c>
      <c r="G40" s="11">
        <f>SUM(G36:G39)</f>
        <v>2804.7</v>
      </c>
      <c r="H40" s="12">
        <f>IFERROR(G40/F40,"")</f>
        <v>0.21912574709949606</v>
      </c>
    </row>
    <row r="41" spans="1:11">
      <c r="B41" s="5" t="s">
        <v>20</v>
      </c>
      <c r="E41" s="16">
        <f>IFERROR((E40-('V38'!E40))/('V38'!E40),"")</f>
        <v>-0.20760233918128654</v>
      </c>
      <c r="F41" s="16">
        <f>IFERROR((F40-('V38'!F40))/('V38'!F40),"")</f>
        <v>-0.20800368292673868</v>
      </c>
      <c r="G41" s="16">
        <f>IFERROR((G40-('V38'!G40))/('V38'!G40),"")</f>
        <v>-0.21274230762753257</v>
      </c>
      <c r="H41" s="16">
        <f>IFERROR(H40-('V38'!H40),"")</f>
        <v>-1.3189514536929015E-3</v>
      </c>
    </row>
    <row r="42" spans="1:11">
      <c r="B42" s="5" t="s">
        <v>21</v>
      </c>
      <c r="E42" s="13">
        <f>E40/$B$112</f>
        <v>3.2263825227692125E-2</v>
      </c>
      <c r="F42" s="13">
        <f>F40/$B$112</f>
        <v>0.76192035240192868</v>
      </c>
      <c r="G42" s="13">
        <f>G40/$B$112</f>
        <v>0.16695636645038395</v>
      </c>
    </row>
    <row r="43" spans="1:11">
      <c r="B43" s="5" t="s">
        <v>22</v>
      </c>
      <c r="E43" s="8">
        <f>IFERROR((E42-'V38'!E42)/'V38'!E42,"")</f>
        <v>-8.8971461333851337E-2</v>
      </c>
      <c r="F43" s="8">
        <f>IFERROR((F42-'V38'!F42)/'V38'!F42,"")</f>
        <v>-8.9432890770107229E-2</v>
      </c>
      <c r="G43" s="8">
        <f>IFERROR((G42-'V38'!G42)/'V38'!G42,"")</f>
        <v>-9.4880941098765603E-2</v>
      </c>
    </row>
    <row r="44" spans="1:11">
      <c r="B44" s="5" t="s">
        <v>23</v>
      </c>
      <c r="E44" s="18">
        <f>(E42 / AVERAGE('V25'!E42,'V26'!E42,'V27'!E42,'V28'!E42,'V29'!E42,'V30'!E42,'V31'!E42,'V32'!E42,'V33'!E42,'V34'!E42,'V35'!E42,'V36'!E42,'V37'!E42,'V38'!E42)) * 100</f>
        <v>114.5203335588953</v>
      </c>
      <c r="F44" s="18">
        <f>(F42 / AVERAGE('V25'!F42,'V26'!F42,'V27'!F42,'V28'!F42,'V29'!F42,'V30'!F42,'V31'!F42,'V32'!F42,'V33'!F42,'V34'!F42,'V35'!F42,'V36'!F42,'V37'!F42,'V38'!F42)) * 100</f>
        <v>114.48469656072409</v>
      </c>
      <c r="G44" s="18">
        <f>(G42 / AVERAGE('V25'!G42,'V26'!G42,'V27'!G42,'V28'!G42,'V29'!G42,'V30'!G42,'V31'!G42,'V32'!G42,'V33'!G42,'V34'!G42,'V35'!G42,'V36'!G42,'V37'!G42,'V38'!G42)) * 100</f>
        <v>112.67262526543658</v>
      </c>
      <c r="H44" s="14">
        <f>IFERROR((G44*0.6)+(F44*0.4),"")</f>
        <v>113.39745378355158</v>
      </c>
    </row>
    <row r="45" spans="1:11">
      <c r="A45" s="1">
        <v>5</v>
      </c>
      <c r="C45" s="2" t="s">
        <v>45</v>
      </c>
      <c r="D45" s="2" t="s">
        <v>5</v>
      </c>
      <c r="E45" s="2" t="s">
        <v>6</v>
      </c>
      <c r="F45" s="2" t="s">
        <v>7</v>
      </c>
      <c r="G45" s="2" t="s">
        <v>8</v>
      </c>
      <c r="H45" s="2" t="s">
        <v>9</v>
      </c>
      <c r="I45" s="2" t="s">
        <v>10</v>
      </c>
      <c r="J45" s="2" t="s">
        <v>11</v>
      </c>
      <c r="K45" s="2" t="s">
        <v>12</v>
      </c>
    </row>
    <row r="46" spans="1:11">
      <c r="B46" s="6" t="s">
        <v>124</v>
      </c>
      <c r="C46" s="2" t="s">
        <v>47</v>
      </c>
      <c r="D46" s="5" t="s">
        <v>125</v>
      </c>
      <c r="E46" s="7">
        <v>83</v>
      </c>
      <c r="F46" s="7">
        <v>6573.6</v>
      </c>
      <c r="G46" s="7">
        <v>1925.6</v>
      </c>
      <c r="H46" s="8">
        <f>IFERROR(G46/F46,"")</f>
        <v>0.29292929292929287</v>
      </c>
      <c r="I46" s="18">
        <f>IFERROR(((E46/$B$112) / AVERAGE('V25'!E46/'V25'!$B$112, 'V26'!E46/'V26'!$B$112, 'V27'!E46/'V27'!$B$112, 'V28'!E46/'V28'!$B$112, 'V29'!E46/'V29'!$B$112, 'V30'!E46/'V30'!$B$112, 'V31'!E46/'V31'!$B$112, 'V32'!E46/'V32'!$B$112, 'V33'!E46/'V33'!$B$112, 'V34'!E46/'V34'!$B$112, 'V35'!E46/'V35'!$B$112, 'V36'!E46/'V36'!$B$112, 'V37'!E46/'V37'!$B$112, 'V38'!E46/'V38'!$B$112)) * 100,"")</f>
        <v>48.190023920944469</v>
      </c>
      <c r="J46" s="18">
        <f>IFERROR(((F46/$B$112) / AVERAGE('V25'!F46/'V25'!$B$112, 'V26'!F46/'V26'!$B$112, 'V27'!F46/'V27'!$B$112, 'V28'!F46/'V28'!$B$112, 'V29'!F46/'V29'!$B$112, 'V30'!F46/'V30'!$B$112, 'V31'!F46/'V31'!$B$112, 'V32'!F46/'V32'!$B$112, 'V33'!F46/'V33'!$B$112, 'V34'!F46/'V34'!$B$112, 'V35'!F46/'V35'!$B$112, 'V36'!F46/'V36'!$B$112, 'V37'!F46/'V37'!$B$112, 'V38'!F46/'V38'!$B$112)) * 100,"")</f>
        <v>49.395618367237923</v>
      </c>
      <c r="K46" s="18">
        <f>IFERROR(((G46/$B$112) / AVERAGE('V25'!G46/'V25'!$B$112, 'V26'!G46/'V26'!$B$112, 'V27'!G46/'V27'!$B$112, 'V28'!G46/'V28'!$B$112, 'V29'!G46/'V29'!$B$112, 'V30'!G46/'V30'!$B$112, 'V31'!G46/'V31'!$B$112, 'V32'!G46/'V32'!$B$112, 'V33'!G46/'V33'!$B$112, 'V34'!G46/'V34'!$B$112, 'V35'!G46/'V35'!$B$112, 'V36'!G46/'V36'!$B$112, 'V37'!G46/'V37'!$B$112, 'V38'!G46/'V38'!$B$112)) * 100,"")</f>
        <v>154.56213112969618</v>
      </c>
    </row>
    <row r="47" spans="1:11">
      <c r="C47" s="2" t="s">
        <v>49</v>
      </c>
    </row>
    <row r="48" spans="1:11">
      <c r="C48" s="2" t="s">
        <v>50</v>
      </c>
    </row>
    <row r="49" spans="1:11">
      <c r="C49" s="2" t="s">
        <v>51</v>
      </c>
    </row>
    <row r="50" spans="1:11">
      <c r="C50" s="9" t="s">
        <v>19</v>
      </c>
      <c r="D50" s="10"/>
      <c r="E50" s="11">
        <f>SUM(E46:E49)</f>
        <v>83</v>
      </c>
      <c r="F50" s="11">
        <f>SUM(F46:F49)</f>
        <v>6573.6</v>
      </c>
      <c r="G50" s="11">
        <f>SUM(G46:G49)</f>
        <v>1925.6</v>
      </c>
      <c r="H50" s="12">
        <f>IFERROR(G50/F50,"")</f>
        <v>0.29292929292929287</v>
      </c>
    </row>
    <row r="51" spans="1:11">
      <c r="B51" s="5" t="s">
        <v>20</v>
      </c>
      <c r="E51" s="16">
        <f>IFERROR((E50-('V38'!E50))/('V38'!E50),"")</f>
        <v>-0.18627450980392157</v>
      </c>
      <c r="F51" s="16">
        <f>IFERROR((F50-('V38'!F50))/('V38'!F50),"")</f>
        <v>-0.18627450980392149</v>
      </c>
      <c r="G51" s="16">
        <f>IFERROR((G50-('V38'!G50))/('V38'!G50),"")</f>
        <v>-0.13271028037383181</v>
      </c>
      <c r="H51" s="16">
        <f>IFERROR(H50-('V38'!H50),"")</f>
        <v>1.8091453753218412E-2</v>
      </c>
    </row>
    <row r="52" spans="1:11">
      <c r="B52" s="5" t="s">
        <v>21</v>
      </c>
      <c r="E52" s="13">
        <f>E50/$B$112</f>
        <v>4.9407702839454727E-3</v>
      </c>
      <c r="F52" s="13">
        <f>F50/$B$112</f>
        <v>0.39130900648848149</v>
      </c>
      <c r="G52" s="13">
        <f>G50/$B$112</f>
        <v>0.11462587058753497</v>
      </c>
    </row>
    <row r="53" spans="1:11">
      <c r="B53" s="5" t="s">
        <v>22</v>
      </c>
      <c r="E53" s="8">
        <f>IFERROR((E52-'V38'!E52)/'V38'!E52,"")</f>
        <v>-6.4450615057619023E-2</v>
      </c>
      <c r="F53" s="8">
        <f>IFERROR((F52-'V38'!F52)/'V38'!F52,"")</f>
        <v>-6.4450615057618843E-2</v>
      </c>
      <c r="G53" s="8">
        <f>IFERROR((G52-'V38'!G52)/'V38'!G52,"")</f>
        <v>-2.8672156164168414E-3</v>
      </c>
    </row>
    <row r="54" spans="1:11">
      <c r="B54" s="5" t="s">
        <v>23</v>
      </c>
      <c r="E54" s="18">
        <f>(E52 / AVERAGE('V25'!E52,'V26'!E52,'V27'!E52,'V28'!E52,'V29'!E52,'V30'!E52,'V31'!E52,'V32'!E52,'V33'!E52,'V34'!E52,'V35'!E52,'V36'!E52,'V37'!E52,'V38'!E52)) * 100</f>
        <v>48.190023920944469</v>
      </c>
      <c r="F54" s="18">
        <f>(F52 / AVERAGE('V25'!F52,'V26'!F52,'V27'!F52,'V28'!F52,'V29'!F52,'V30'!F52,'V31'!F52,'V32'!F52,'V33'!F52,'V34'!F52,'V35'!F52,'V36'!F52,'V37'!F52,'V38'!F52)) * 100</f>
        <v>49.395618367237923</v>
      </c>
      <c r="G54" s="18">
        <f>(G52 / AVERAGE('V25'!G52,'V26'!G52,'V27'!G52,'V28'!G52,'V29'!G52,'V30'!G52,'V31'!G52,'V32'!G52,'V33'!G52,'V34'!G52,'V35'!G52,'V36'!G52,'V37'!G52,'V38'!G52)) * 100</f>
        <v>154.56213112969618</v>
      </c>
      <c r="H54" s="14">
        <f>IFERROR((G54*0.6)+(F54*0.4),"")</f>
        <v>112.49552602471289</v>
      </c>
    </row>
    <row r="55" spans="1:11">
      <c r="A55" s="1">
        <v>6</v>
      </c>
      <c r="C55" s="2" t="s">
        <v>52</v>
      </c>
      <c r="D55" s="2" t="s">
        <v>5</v>
      </c>
      <c r="E55" s="2" t="s">
        <v>6</v>
      </c>
      <c r="F55" s="2" t="s">
        <v>7</v>
      </c>
      <c r="G55" s="2" t="s">
        <v>8</v>
      </c>
      <c r="H55" s="2" t="s">
        <v>9</v>
      </c>
      <c r="I55" s="2" t="s">
        <v>10</v>
      </c>
      <c r="J55" s="2" t="s">
        <v>11</v>
      </c>
      <c r="K55" s="2" t="s">
        <v>12</v>
      </c>
    </row>
    <row r="56" spans="1:11">
      <c r="B56" s="6" t="s">
        <v>53</v>
      </c>
      <c r="C56" s="2" t="s">
        <v>54</v>
      </c>
      <c r="D56" s="5" t="s">
        <v>55</v>
      </c>
      <c r="E56" s="7">
        <v>144</v>
      </c>
      <c r="F56" s="7">
        <v>5761.24</v>
      </c>
      <c r="G56" s="7">
        <v>1153.24</v>
      </c>
      <c r="H56" s="8">
        <f>IFERROR(G56/F56,"")</f>
        <v>0.20017218515458479</v>
      </c>
      <c r="I56" s="18">
        <f>IFERROR(((E56/$B$112) / AVERAGE('V25'!E56/'V25'!$B$112, 'V26'!E56/'V26'!$B$112, 'V27'!E56/'V27'!$B$112, 'V28'!E56/'V28'!$B$112, 'V29'!E56/'V29'!$B$112, 'V30'!E56/'V30'!$B$112, 'V31'!E56/'V31'!$B$112, 'V32'!E56/'V32'!$B$112, 'V33'!E56/'V33'!$B$112, 'V34'!E56/'V34'!$B$112, 'V35'!E56/'V35'!$B$112, 'V36'!E56/'V36'!$B$112, 'V37'!E56/'V37'!$B$112, 'V38'!E56/'V38'!$B$112)) * 100,"")</f>
        <v>82.638140106893459</v>
      </c>
      <c r="J56" s="18">
        <f>IFERROR(((F56/$B$112) / AVERAGE('V25'!F56/'V25'!$B$112, 'V26'!F56/'V26'!$B$112, 'V27'!F56/'V27'!$B$112, 'V28'!F56/'V28'!$B$112, 'V29'!F56/'V29'!$B$112, 'V30'!F56/'V30'!$B$112, 'V31'!F56/'V31'!$B$112, 'V32'!F56/'V32'!$B$112, 'V33'!F56/'V33'!$B$112, 'V34'!F56/'V34'!$B$112, 'V35'!F56/'V35'!$B$112, 'V36'!F56/'V36'!$B$112, 'V37'!F56/'V37'!$B$112, 'V38'!F56/'V38'!$B$112)) * 100,"")</f>
        <v>81.204592896511869</v>
      </c>
      <c r="K56" s="18">
        <f>IFERROR(((G56/$B$112) / AVERAGE('V25'!G56/'V25'!$B$112, 'V26'!G56/'V26'!$B$112, 'V27'!G56/'V27'!$B$112, 'V28'!G56/'V28'!$B$112, 'V29'!G56/'V29'!$B$112, 'V30'!G56/'V30'!$B$112, 'V31'!G56/'V31'!$B$112, 'V32'!G56/'V32'!$B$112, 'V33'!G56/'V33'!$B$112, 'V34'!G56/'V34'!$B$112, 'V35'!G56/'V35'!$B$112, 'V36'!G56/'V36'!$B$112, 'V37'!G56/'V37'!$B$112, 'V38'!G56/'V38'!$B$112)) * 100,"")</f>
        <v>76.357858206443282</v>
      </c>
    </row>
    <row r="57" spans="1:11">
      <c r="C57" s="2" t="s">
        <v>56</v>
      </c>
    </row>
    <row r="58" spans="1:11">
      <c r="C58" s="2" t="s">
        <v>57</v>
      </c>
    </row>
    <row r="59" spans="1:11">
      <c r="C59" s="2" t="s">
        <v>58</v>
      </c>
    </row>
    <row r="60" spans="1:11">
      <c r="C60" s="9" t="s">
        <v>19</v>
      </c>
      <c r="D60" s="10"/>
      <c r="E60" s="11">
        <f>SUM(E56:E59)</f>
        <v>144</v>
      </c>
      <c r="F60" s="11">
        <f>SUM(F56:F59)</f>
        <v>5761.24</v>
      </c>
      <c r="G60" s="11">
        <f>SUM(G56:G59)</f>
        <v>1153.24</v>
      </c>
      <c r="H60" s="12">
        <f>IFERROR(G60/F60,"")</f>
        <v>0.20017218515458479</v>
      </c>
    </row>
    <row r="61" spans="1:11">
      <c r="B61" s="5" t="s">
        <v>20</v>
      </c>
      <c r="E61" s="16">
        <f>IFERROR((E60-('V38'!E60))/('V38'!E60),"")</f>
        <v>-0.26903553299492383</v>
      </c>
      <c r="F61" s="16">
        <f>IFERROR((F60-('V38'!F60))/('V38'!F60),"")</f>
        <v>-0.27137841720795647</v>
      </c>
      <c r="G61" s="16">
        <f>IFERROR((G60-('V38'!G60))/('V38'!G60),"")</f>
        <v>-0.2805918754366703</v>
      </c>
      <c r="H61" s="16">
        <f>IFERROR(H60-('V38'!H60),"")</f>
        <v>-2.5636047238020709E-3</v>
      </c>
    </row>
    <row r="62" spans="1:11">
      <c r="B62" s="5" t="s">
        <v>21</v>
      </c>
      <c r="E62" s="13">
        <f>E60/$B$112</f>
        <v>8.5719388058813021E-3</v>
      </c>
      <c r="F62" s="13">
        <f>F60/$B$112</f>
        <v>0.34295136615274718</v>
      </c>
      <c r="G62" s="13">
        <f>G60/$B$112</f>
        <v>6.8649324364545503E-2</v>
      </c>
    </row>
    <row r="63" spans="1:11">
      <c r="B63" s="5" t="s">
        <v>22</v>
      </c>
      <c r="E63" s="8">
        <f>IFERROR((E62-'V38'!E62)/'V38'!E62,"")</f>
        <v>-0.15960189798583008</v>
      </c>
      <c r="F63" s="8">
        <f>IFERROR((F62-'V38'!F62)/'V38'!F62,"")</f>
        <v>-0.16229553842219607</v>
      </c>
      <c r="G63" s="8">
        <f>IFERROR((G62-'V38'!G62)/'V38'!G62,"")</f>
        <v>-0.17288835538924047</v>
      </c>
    </row>
    <row r="64" spans="1:11">
      <c r="B64" s="5" t="s">
        <v>23</v>
      </c>
      <c r="E64" s="18">
        <f>(E62 / AVERAGE('V25'!E62,'V26'!E62,'V27'!E62,'V28'!E62,'V29'!E62,'V30'!E62,'V31'!E62,'V32'!E62,'V33'!E62,'V34'!E62,'V35'!E62,'V36'!E62,'V37'!E62,'V38'!E62)) * 100</f>
        <v>82.638140106893459</v>
      </c>
      <c r="F64" s="18">
        <f>(F62 / AVERAGE('V25'!F62,'V26'!F62,'V27'!F62,'V28'!F62,'V29'!F62,'V30'!F62,'V31'!F62,'V32'!F62,'V33'!F62,'V34'!F62,'V35'!F62,'V36'!F62,'V37'!F62,'V38'!F62)) * 100</f>
        <v>81.204592896511869</v>
      </c>
      <c r="G64" s="18">
        <f>(G62 / AVERAGE('V25'!G62,'V26'!G62,'V27'!G62,'V28'!G62,'V29'!G62,'V30'!G62,'V31'!G62,'V32'!G62,'V33'!G62,'V34'!G62,'V35'!G62,'V36'!G62,'V37'!G62,'V38'!G62)) * 100</f>
        <v>76.357858206443282</v>
      </c>
      <c r="H64" s="14">
        <f>IFERROR((G64*0.6)+(F64*0.4),"")</f>
        <v>78.296552082470726</v>
      </c>
    </row>
    <row r="65" spans="1:11">
      <c r="A65" s="1">
        <v>7</v>
      </c>
      <c r="C65" s="2" t="s">
        <v>59</v>
      </c>
      <c r="D65" s="2" t="s">
        <v>5</v>
      </c>
      <c r="E65" s="2" t="s">
        <v>6</v>
      </c>
      <c r="F65" s="2" t="s">
        <v>7</v>
      </c>
      <c r="G65" s="2" t="s">
        <v>8</v>
      </c>
      <c r="H65" s="2" t="s">
        <v>9</v>
      </c>
      <c r="I65" s="2" t="s">
        <v>10</v>
      </c>
      <c r="J65" s="2" t="s">
        <v>11</v>
      </c>
      <c r="K65" s="2" t="s">
        <v>12</v>
      </c>
    </row>
    <row r="66" spans="1:11">
      <c r="B66" s="6" t="s">
        <v>135</v>
      </c>
      <c r="C66" s="2" t="s">
        <v>61</v>
      </c>
      <c r="D66" s="5" t="s">
        <v>136</v>
      </c>
      <c r="E66" s="7">
        <v>189</v>
      </c>
      <c r="F66" s="7">
        <v>5564.8</v>
      </c>
      <c r="G66" s="7">
        <v>1744.8</v>
      </c>
      <c r="H66" s="8">
        <f>IFERROR(G66/F66,"")</f>
        <v>0.31354226566992521</v>
      </c>
      <c r="I66" s="18">
        <f>IFERROR(((E66/$B$112) / AVERAGE('V25'!E66/'V25'!$B$112, 'V26'!E66/'V26'!$B$112, 'V27'!E66/'V27'!$B$112, 'V28'!E66/'V28'!$B$112, 'V29'!E66/'V29'!$B$112, 'V30'!E66/'V30'!$B$112, 'V31'!E66/'V31'!$B$112, 'V32'!E66/'V32'!$B$112, 'V33'!E66/'V33'!$B$112, 'V34'!E66/'V34'!$B$112, 'V35'!E66/'V35'!$B$112, 'V36'!E66/'V36'!$B$112, 'V37'!E66/'V37'!$B$112, 'V38'!E66/'V38'!$B$112)) * 100,"")</f>
        <v>156.52452971541123</v>
      </c>
      <c r="J66" s="18">
        <f>IFERROR(((F66/$B$112) / AVERAGE('V25'!F66/'V25'!$B$112, 'V26'!F66/'V26'!$B$112, 'V27'!F66/'V27'!$B$112, 'V28'!F66/'V28'!$B$112, 'V29'!F66/'V29'!$B$112, 'V30'!F66/'V30'!$B$112, 'V31'!F66/'V31'!$B$112, 'V32'!F66/'V32'!$B$112, 'V33'!F66/'V33'!$B$112, 'V34'!F66/'V34'!$B$112, 'V35'!F66/'V35'!$B$112, 'V36'!F66/'V36'!$B$112, 'V37'!F66/'V37'!$B$112, 'V38'!F66/'V38'!$B$112)) * 100,"")</f>
        <v>222.07903112676809</v>
      </c>
      <c r="K66" s="18">
        <f>IFERROR(((G66/$B$112) / AVERAGE('V25'!G66/'V25'!$B$112, 'V26'!G66/'V26'!$B$112, 'V27'!G66/'V27'!$B$112, 'V28'!G66/'V28'!$B$112, 'V29'!G66/'V29'!$B$112, 'V30'!G66/'V30'!$B$112, 'V31'!G66/'V31'!$B$112, 'V32'!G66/'V32'!$B$112, 'V33'!G66/'V33'!$B$112, 'V34'!G66/'V34'!$B$112, 'V35'!G66/'V35'!$B$112, 'V36'!G66/'V36'!$B$112, 'V37'!G66/'V37'!$B$112, 'V38'!G66/'V38'!$B$112)) * 100,"")</f>
        <v>300.90724484981178</v>
      </c>
    </row>
    <row r="67" spans="1:11">
      <c r="C67" s="2" t="s">
        <v>63</v>
      </c>
    </row>
    <row r="68" spans="1:11">
      <c r="C68" s="2" t="s">
        <v>64</v>
      </c>
    </row>
    <row r="69" spans="1:11">
      <c r="C69" s="2" t="s">
        <v>65</v>
      </c>
    </row>
    <row r="70" spans="1:11">
      <c r="C70" s="9" t="s">
        <v>19</v>
      </c>
      <c r="D70" s="10"/>
      <c r="E70" s="11">
        <f>SUM(E66:E69)</f>
        <v>189</v>
      </c>
      <c r="F70" s="11">
        <f>SUM(F66:F69)</f>
        <v>5564.8</v>
      </c>
      <c r="G70" s="11">
        <f>SUM(G66:G69)</f>
        <v>1744.8</v>
      </c>
      <c r="H70" s="12">
        <f>IFERROR(G70/F70,"")</f>
        <v>0.31354226566992521</v>
      </c>
    </row>
    <row r="71" spans="1:11">
      <c r="B71" s="5" t="s">
        <v>20</v>
      </c>
      <c r="E71" s="16">
        <f>IFERROR((E70-('V38'!E70))/('V38'!E70),"")</f>
        <v>0.22727272727272727</v>
      </c>
      <c r="F71" s="16">
        <f>IFERROR((F70-('V38'!F70))/('V38'!F70),"")</f>
        <v>0.74061006430948639</v>
      </c>
      <c r="G71" s="16">
        <f>IFERROR((G70-('V38'!G70))/('V38'!G70),"")</f>
        <v>1.3554823554823554</v>
      </c>
      <c r="H71" s="16">
        <f>IFERROR(H70-('V38'!H70),"")</f>
        <v>8.18466972691545E-2</v>
      </c>
    </row>
    <row r="72" spans="1:11">
      <c r="B72" s="5" t="s">
        <v>21</v>
      </c>
      <c r="E72" s="13">
        <f>E70/$B$112</f>
        <v>1.1250669682719209E-2</v>
      </c>
      <c r="F72" s="13">
        <f>F70/$B$112</f>
        <v>0.33125781296505746</v>
      </c>
      <c r="G72" s="13">
        <f>G70/$B$112</f>
        <v>0.10386332519792844</v>
      </c>
    </row>
    <row r="73" spans="1:11">
      <c r="B73" s="5" t="s">
        <v>22</v>
      </c>
      <c r="E73" s="8">
        <f>IFERROR((E72-'V38'!E72)/'V38'!E72,"")</f>
        <v>0.41100931332492729</v>
      </c>
      <c r="F73" s="8">
        <f>IFERROR((F72-'V38'!F72)/'V38'!F72,"")</f>
        <v>1.0011990464952332</v>
      </c>
      <c r="G73" s="8">
        <f>IFERROR((G72-'V38'!G72)/'V38'!G72,"")</f>
        <v>1.7081246630029292</v>
      </c>
    </row>
    <row r="74" spans="1:11">
      <c r="B74" s="5" t="s">
        <v>23</v>
      </c>
      <c r="E74" s="18">
        <f>(E72 / AVERAGE('V25'!E72,'V26'!E72,'V27'!E72,'V28'!E72,'V29'!E72,'V30'!E72,'V31'!E72,'V32'!E72,'V33'!E72,'V34'!E72,'V35'!E72,'V36'!E72,'V37'!E72,'V38'!E72)) * 100</f>
        <v>156.52452971541123</v>
      </c>
      <c r="F74" s="18">
        <f>(F72 / AVERAGE('V25'!F72,'V26'!F72,'V27'!F72,'V28'!F72,'V29'!F72,'V30'!F72,'V31'!F72,'V32'!F72,'V33'!F72,'V34'!F72,'V35'!F72,'V36'!F72,'V37'!F72,'V38'!F72)) * 100</f>
        <v>222.07903112676809</v>
      </c>
      <c r="G74" s="18">
        <f>(G72 / AVERAGE('V25'!G72,'V26'!G72,'V27'!G72,'V28'!G72,'V29'!G72,'V30'!G72,'V31'!G72,'V32'!G72,'V33'!G72,'V34'!G72,'V35'!G72,'V36'!G72,'V37'!G72,'V38'!G72)) * 100</f>
        <v>300.90724484981178</v>
      </c>
      <c r="H74" s="14">
        <f>IFERROR((G74*0.6)+(F74*0.4),"")</f>
        <v>269.37595936059427</v>
      </c>
    </row>
    <row r="75" spans="1:11">
      <c r="A75" s="1">
        <v>8</v>
      </c>
      <c r="C75" s="2" t="s">
        <v>66</v>
      </c>
      <c r="D75" s="2" t="s">
        <v>5</v>
      </c>
      <c r="E75" s="2" t="s">
        <v>6</v>
      </c>
      <c r="F75" s="2" t="s">
        <v>7</v>
      </c>
      <c r="G75" s="2" t="s">
        <v>8</v>
      </c>
      <c r="H75" s="2" t="s">
        <v>9</v>
      </c>
      <c r="I75" s="2" t="s">
        <v>10</v>
      </c>
      <c r="J75" s="2" t="s">
        <v>11</v>
      </c>
      <c r="K75" s="2" t="s">
        <v>12</v>
      </c>
    </row>
    <row r="76" spans="1:11">
      <c r="B76" s="6" t="s">
        <v>126</v>
      </c>
      <c r="C76" s="2" t="s">
        <v>68</v>
      </c>
      <c r="D76" s="5" t="s">
        <v>127</v>
      </c>
      <c r="E76" s="7">
        <v>63</v>
      </c>
      <c r="F76" s="7">
        <v>2008.68</v>
      </c>
      <c r="G76" s="7">
        <v>325.68</v>
      </c>
      <c r="H76" s="8">
        <f>IFERROR(G76/F76,"")</f>
        <v>0.16213632833502598</v>
      </c>
      <c r="I76" s="18">
        <f>IFERROR(((E76/$B$112) / AVERAGE('V25'!E76/'V25'!$B$112, 'V26'!E76/'V26'!$B$112, 'V27'!E76/'V27'!$B$112, 'V28'!E76/'V28'!$B$112, 'V29'!E76/'V29'!$B$112, 'V30'!E76/'V30'!$B$112, 'V31'!E76/'V31'!$B$112, 'V32'!E76/'V32'!$B$112, 'V33'!E76/'V33'!$B$112, 'V34'!E76/'V34'!$B$112, 'V35'!E76/'V35'!$B$112, 'V36'!E76/'V36'!$B$112, 'V37'!E76/'V37'!$B$112, 'V38'!E76/'V38'!$B$112)) * 100,"")</f>
        <v>81.497947073381738</v>
      </c>
      <c r="J76" s="18">
        <f>IFERROR(((F76/$B$112) / AVERAGE('V25'!F76/'V25'!$B$112, 'V26'!F76/'V26'!$B$112, 'V27'!F76/'V27'!$B$112, 'V28'!F76/'V28'!$B$112, 'V29'!F76/'V29'!$B$112, 'V30'!F76/'V30'!$B$112, 'V31'!F76/'V31'!$B$112, 'V32'!F76/'V32'!$B$112, 'V33'!F76/'V33'!$B$112, 'V34'!F76/'V34'!$B$112, 'V35'!F76/'V35'!$B$112, 'V36'!F76/'V36'!$B$112, 'V37'!F76/'V37'!$B$112, 'V38'!F76/'V38'!$B$112)) * 100,"")</f>
        <v>105.12269523221967</v>
      </c>
      <c r="K76" s="18">
        <f>IFERROR(((G76/$B$112) / AVERAGE('V25'!G76/'V25'!$B$112, 'V26'!G76/'V26'!$B$112, 'V27'!G76/'V27'!$B$112, 'V28'!G76/'V28'!$B$112, 'V29'!G76/'V29'!$B$112, 'V30'!G76/'V30'!$B$112, 'V31'!G76/'V31'!$B$112, 'V32'!G76/'V32'!$B$112, 'V33'!G76/'V33'!$B$112, 'V34'!G76/'V34'!$B$112, 'V35'!G76/'V35'!$B$112, 'V36'!G76/'V36'!$B$112, 'V37'!G76/'V37'!$B$112, 'V38'!G76/'V38'!$B$112)) * 100,"")</f>
        <v>77.579187147297475</v>
      </c>
    </row>
    <row r="77" spans="1:11">
      <c r="C77" s="2" t="s">
        <v>70</v>
      </c>
    </row>
    <row r="78" spans="1:11">
      <c r="C78" s="2" t="s">
        <v>71</v>
      </c>
    </row>
    <row r="79" spans="1:11">
      <c r="C79" s="2" t="s">
        <v>72</v>
      </c>
    </row>
    <row r="80" spans="1:11">
      <c r="C80" s="9" t="s">
        <v>19</v>
      </c>
      <c r="D80" s="10"/>
      <c r="E80" s="11">
        <f>SUM(E76:E79)</f>
        <v>63</v>
      </c>
      <c r="F80" s="11">
        <f>SUM(F76:F79)</f>
        <v>2008.68</v>
      </c>
      <c r="G80" s="11">
        <f>SUM(G76:G79)</f>
        <v>325.68</v>
      </c>
      <c r="H80" s="12">
        <f>IFERROR(G80/F80,"")</f>
        <v>0.16213632833502598</v>
      </c>
    </row>
    <row r="81" spans="1:11">
      <c r="B81" s="5" t="s">
        <v>20</v>
      </c>
      <c r="E81" s="16">
        <f>IFERROR((E80-('V38'!E80))/('V38'!E80),"")</f>
        <v>-8.6956521739130432E-2</v>
      </c>
      <c r="F81" s="16">
        <f>IFERROR((F80-('V38'!F80))/('V38'!F80),"")</f>
        <v>-8.9133155574903297E-2</v>
      </c>
      <c r="G81" s="16">
        <f>IFERROR((G80-('V38'!G80))/('V38'!G80),"")</f>
        <v>-0.11797205069873254</v>
      </c>
      <c r="H81" s="16">
        <f>IFERROR(H80-('V38'!H80),"")</f>
        <v>-5.3012294818103045E-3</v>
      </c>
    </row>
    <row r="82" spans="1:11">
      <c r="B82" s="5" t="s">
        <v>21</v>
      </c>
      <c r="E82" s="13">
        <f>E80/$B$112</f>
        <v>3.7502232275730698E-3</v>
      </c>
      <c r="F82" s="13">
        <f>F80/$B$112</f>
        <v>0.11957140305970594</v>
      </c>
      <c r="G82" s="13">
        <f>G80/$B$112</f>
        <v>1.9386868265968214E-2</v>
      </c>
    </row>
    <row r="83" spans="1:11">
      <c r="B83" s="5" t="s">
        <v>22</v>
      </c>
      <c r="E83" s="8">
        <f>IFERROR((E82-'V38'!E82)/'V38'!E82,"")</f>
        <v>4.9736397352844429E-2</v>
      </c>
      <c r="F83" s="8">
        <f>IFERROR((F82-'V38'!F82)/'V38'!F82,"")</f>
        <v>4.7233896852569693E-2</v>
      </c>
      <c r="G83" s="8">
        <f>IFERROR((G82-'V38'!G82)/'V38'!G82,"")</f>
        <v>1.4077493470128108E-2</v>
      </c>
    </row>
    <row r="84" spans="1:11">
      <c r="B84" s="5" t="s">
        <v>23</v>
      </c>
      <c r="E84" s="18">
        <f>(E82 / AVERAGE('V25'!E82,'V26'!E82,'V27'!E82,'V28'!E82,'V29'!E82,'V30'!E82,'V31'!E82,'V32'!E82,'V33'!E82,'V34'!E82,'V35'!E82,'V36'!E82,'V37'!E82,'V38'!E82)) * 100</f>
        <v>81.497947073381738</v>
      </c>
      <c r="F84" s="18">
        <f>(F82 / AVERAGE('V25'!F82,'V26'!F82,'V27'!F82,'V28'!F82,'V29'!F82,'V30'!F82,'V31'!F82,'V32'!F82,'V33'!F82,'V34'!F82,'V35'!F82,'V36'!F82,'V37'!F82,'V38'!F82)) * 100</f>
        <v>105.12269523221967</v>
      </c>
      <c r="G84" s="18">
        <f>(G82 / AVERAGE('V25'!G82,'V26'!G82,'V27'!G82,'V28'!G82,'V29'!G82,'V30'!G82,'V31'!G82,'V32'!G82,'V33'!G82,'V34'!G82,'V35'!G82,'V36'!G82,'V37'!G82,'V38'!G82)) * 100</f>
        <v>77.579187147297475</v>
      </c>
      <c r="H84" s="14">
        <f>IFERROR((G84*0.6)+(F84*0.4),"")</f>
        <v>88.596590381266353</v>
      </c>
    </row>
    <row r="85" spans="1:11">
      <c r="A85" s="1">
        <v>9</v>
      </c>
      <c r="C85" s="2" t="s">
        <v>73</v>
      </c>
      <c r="D85" s="2" t="s">
        <v>5</v>
      </c>
      <c r="E85" s="2" t="s">
        <v>6</v>
      </c>
      <c r="F85" s="2" t="s">
        <v>7</v>
      </c>
      <c r="G85" s="2" t="s">
        <v>8</v>
      </c>
      <c r="H85" s="2" t="s">
        <v>9</v>
      </c>
      <c r="I85" s="2" t="s">
        <v>10</v>
      </c>
      <c r="J85" s="2" t="s">
        <v>11</v>
      </c>
      <c r="K85" s="2" t="s">
        <v>12</v>
      </c>
    </row>
    <row r="86" spans="1:11">
      <c r="B86" s="6" t="s">
        <v>74</v>
      </c>
      <c r="C86" s="2" t="s">
        <v>75</v>
      </c>
      <c r="D86" s="5" t="s">
        <v>76</v>
      </c>
      <c r="E86" s="7">
        <v>263</v>
      </c>
      <c r="F86" s="7">
        <v>9466.2000000000007</v>
      </c>
      <c r="G86" s="7">
        <v>1581.46</v>
      </c>
      <c r="H86" s="8">
        <f>IFERROR(G86/F86,"")</f>
        <v>0.16706386934567197</v>
      </c>
      <c r="I86" s="18">
        <f>IFERROR(((E86/$B$112) / AVERAGE('V25'!E86/'V25'!$B$112, 'V26'!E86/'V26'!$B$112, 'V27'!E86/'V27'!$B$112, 'V28'!E86/'V28'!$B$112, 'V29'!E86/'V29'!$B$112, 'V30'!E86/'V30'!$B$112, 'V31'!E86/'V31'!$B$112, 'V32'!E86/'V32'!$B$112, 'V33'!E86/'V33'!$B$112, 'V34'!E86/'V34'!$B$112, 'V35'!E86/'V35'!$B$112, 'V36'!E86/'V36'!$B$112, 'V37'!E86/'V37'!$B$112, 'V38'!E86/'V38'!$B$112)) * 100,"")</f>
        <v>125.21458577935496</v>
      </c>
      <c r="J86" s="18">
        <f>IFERROR(((F86/$B$112) / AVERAGE('V25'!F86/'V25'!$B$112, 'V26'!F86/'V26'!$B$112, 'V27'!F86/'V27'!$B$112, 'V28'!F86/'V28'!$B$112, 'V29'!F86/'V29'!$B$112, 'V30'!F86/'V30'!$B$112, 'V31'!F86/'V31'!$B$112, 'V32'!F86/'V32'!$B$112, 'V33'!F86/'V33'!$B$112, 'V34'!F86/'V34'!$B$112, 'V35'!F86/'V35'!$B$112, 'V36'!F86/'V36'!$B$112, 'V37'!F86/'V37'!$B$112, 'V38'!F86/'V38'!$B$112)) * 100,"")</f>
        <v>125.20250930960827</v>
      </c>
      <c r="K86" s="18">
        <f>IFERROR(((G86/$B$112) / AVERAGE('V25'!G86/'V25'!$B$112, 'V26'!G86/'V26'!$B$112, 'V27'!G86/'V27'!$B$112, 'V28'!G86/'V28'!$B$112, 'V29'!G86/'V29'!$B$112, 'V30'!G86/'V30'!$B$112, 'V31'!G86/'V31'!$B$112, 'V32'!G86/'V32'!$B$112, 'V33'!G86/'V33'!$B$112, 'V34'!G86/'V34'!$B$112, 'V35'!G86/'V35'!$B$112, 'V36'!G86/'V36'!$B$112, 'V37'!G86/'V37'!$B$112, 'V38'!G86/'V38'!$B$112)) * 100,"")</f>
        <v>124.47864565636817</v>
      </c>
    </row>
    <row r="87" spans="1:11">
      <c r="C87" s="2" t="s">
        <v>77</v>
      </c>
    </row>
    <row r="88" spans="1:11">
      <c r="C88" s="2" t="s">
        <v>78</v>
      </c>
    </row>
    <row r="89" spans="1:11">
      <c r="C89" s="2" t="s">
        <v>79</v>
      </c>
    </row>
    <row r="90" spans="1:11">
      <c r="C90" s="9" t="s">
        <v>19</v>
      </c>
      <c r="D90" s="10"/>
      <c r="E90" s="11">
        <f>SUM(E86:E89)</f>
        <v>263</v>
      </c>
      <c r="F90" s="11">
        <f>SUM(F86:F89)</f>
        <v>9466.2000000000007</v>
      </c>
      <c r="G90" s="11">
        <f>SUM(G86:G89)</f>
        <v>1581.46</v>
      </c>
      <c r="H90" s="12">
        <f>IFERROR(G90/F90,"")</f>
        <v>0.16706386934567197</v>
      </c>
    </row>
    <row r="91" spans="1:11">
      <c r="B91" s="5" t="s">
        <v>20</v>
      </c>
      <c r="E91" s="16">
        <f>IFERROR((E90-('V38'!E90))/('V38'!E90),"")</f>
        <v>-0.18068535825545171</v>
      </c>
      <c r="F91" s="16">
        <f>IFERROR((F90-('V38'!F90))/('V38'!F90),"")</f>
        <v>-0.18084112149532705</v>
      </c>
      <c r="G91" s="16">
        <f>IFERROR((G90-('V38'!G90))/('V38'!G90),"")</f>
        <v>-0.18161683277962348</v>
      </c>
      <c r="H91" s="16">
        <f>IFERROR(H90-('V38'!H90),"")</f>
        <v>-1.5835287655024954E-4</v>
      </c>
    </row>
    <row r="92" spans="1:11">
      <c r="B92" s="5" t="s">
        <v>21</v>
      </c>
      <c r="E92" s="13">
        <f>E90/$B$112</f>
        <v>1.5655693791297103E-2</v>
      </c>
      <c r="F92" s="13">
        <f>F90/$B$112</f>
        <v>0.56349782725162212</v>
      </c>
      <c r="G92" s="13">
        <f>G90/$B$112</f>
        <v>9.4140127388535028E-2</v>
      </c>
    </row>
    <row r="93" spans="1:11">
      <c r="B93" s="5" t="s">
        <v>22</v>
      </c>
      <c r="E93" s="8">
        <f>IFERROR((E92-'V38'!E92)/'V38'!E92,"")</f>
        <v>-5.8024704407750101E-2</v>
      </c>
      <c r="F93" s="8">
        <f>IFERROR((F92-'V38'!F92)/'V38'!F92,"")</f>
        <v>-5.8203787163566119E-2</v>
      </c>
      <c r="G93" s="8">
        <f>IFERROR((G92-'V38'!G92)/'V38'!G92,"")</f>
        <v>-5.909563118671636E-2</v>
      </c>
    </row>
    <row r="94" spans="1:11">
      <c r="B94" s="5" t="s">
        <v>23</v>
      </c>
      <c r="E94" s="18">
        <f>(E92 / AVERAGE('V25'!E92,'V26'!E92,'V27'!E92,'V28'!E92,'V29'!E92,'V30'!E92,'V31'!E92,'V32'!E92,'V33'!E92,'V34'!E92,'V35'!E92,'V36'!E92,'V37'!E92,'V38'!E92)) * 100</f>
        <v>125.21458577935496</v>
      </c>
      <c r="F94" s="18">
        <f>(F92 / AVERAGE('V25'!F92,'V26'!F92,'V27'!F92,'V28'!F92,'V29'!F92,'V30'!F92,'V31'!F92,'V32'!F92,'V33'!F92,'V34'!F92,'V35'!F92,'V36'!F92,'V37'!F92,'V38'!F92)) * 100</f>
        <v>125.20250930960827</v>
      </c>
      <c r="G94" s="18">
        <f>(G92 / AVERAGE('V25'!G92,'V26'!G92,'V27'!G92,'V28'!G92,'V29'!G92,'V30'!G92,'V31'!G92,'V32'!G92,'V33'!G92,'V34'!G92,'V35'!G92,'V36'!G92,'V37'!G92,'V38'!G92)) * 100</f>
        <v>124.47864565636817</v>
      </c>
      <c r="H94" s="14">
        <f>IFERROR((G94*0.6)+(F94*0.4),"")</f>
        <v>124.76819111766422</v>
      </c>
    </row>
    <row r="95" spans="1:11">
      <c r="A95" s="1">
        <v>10</v>
      </c>
      <c r="C95" s="2" t="s">
        <v>80</v>
      </c>
      <c r="D95" s="2" t="s">
        <v>5</v>
      </c>
      <c r="E95" s="2" t="s">
        <v>6</v>
      </c>
      <c r="F95" s="2" t="s">
        <v>7</v>
      </c>
      <c r="G95" s="2" t="s">
        <v>8</v>
      </c>
      <c r="H95" s="2" t="s">
        <v>9</v>
      </c>
      <c r="I95" s="2" t="s">
        <v>10</v>
      </c>
      <c r="J95" s="2" t="s">
        <v>11</v>
      </c>
      <c r="K95" s="2" t="s">
        <v>12</v>
      </c>
    </row>
    <row r="96" spans="1:11">
      <c r="B96" s="6" t="s">
        <v>137</v>
      </c>
      <c r="C96" s="2" t="s">
        <v>82</v>
      </c>
      <c r="D96" s="5" t="s">
        <v>83</v>
      </c>
      <c r="E96" s="7">
        <v>289</v>
      </c>
      <c r="F96" s="7">
        <v>10396.85</v>
      </c>
      <c r="G96" s="7">
        <v>1492.63</v>
      </c>
      <c r="H96" s="8">
        <f>IFERROR(G96/F96,"")</f>
        <v>0.1435655991959103</v>
      </c>
      <c r="I96" s="18">
        <f>IFERROR(((E96/$B$112) / AVERAGE('V25'!E96/'V25'!$B$112, 'V26'!E96/'V26'!$B$112, 'V27'!E96/'V27'!$B$112, 'V28'!E96/'V28'!$B$112, 'V29'!E96/'V29'!$B$112, 'V30'!E96/'V30'!$B$112, 'V31'!E96/'V31'!$B$112, 'V32'!E96/'V32'!$B$112, 'V33'!E96/'V33'!$B$112, 'V34'!E96/'V34'!$B$112, 'V35'!E96/'V35'!$B$112, 'V36'!E96/'V36'!$B$112, 'V37'!E96/'V37'!$B$112, 'V38'!E96/'V38'!$B$112)) * 100,"")</f>
        <v>116.4452935242454</v>
      </c>
      <c r="J96" s="18">
        <f>IFERROR(((F96/$B$112) / AVERAGE('V25'!F96/'V25'!$B$112, 'V26'!F96/'V26'!$B$112, 'V27'!F96/'V27'!$B$112, 'V28'!F96/'V28'!$B$112, 'V29'!F96/'V29'!$B$112, 'V30'!F96/'V30'!$B$112, 'V31'!F96/'V31'!$B$112, 'V32'!F96/'V32'!$B$112, 'V33'!F96/'V33'!$B$112, 'V34'!F96/'V34'!$B$112, 'V35'!F96/'V35'!$B$112, 'V36'!F96/'V36'!$B$112, 'V37'!F96/'V37'!$B$112, 'V38'!F96/'V38'!$B$112)) * 100,"")</f>
        <v>116.39879597748552</v>
      </c>
      <c r="K96" s="18">
        <f>IFERROR(((G96/$B$112) / AVERAGE('V25'!G96/'V25'!$B$112, 'V26'!G96/'V26'!$B$112, 'V27'!G96/'V27'!$B$112, 'V28'!G96/'V28'!$B$112, 'V29'!G96/'V29'!$B$112, 'V30'!G96/'V30'!$B$112, 'V31'!G96/'V31'!$B$112, 'V32'!G96/'V32'!$B$112, 'V33'!G96/'V33'!$B$112, 'V34'!G96/'V34'!$B$112, 'V35'!G96/'V35'!$B$112, 'V36'!G96/'V36'!$B$112, 'V37'!G96/'V37'!$B$112, 'V38'!G96/'V38'!$B$112)) * 100,"")</f>
        <v>99.814395967876919</v>
      </c>
    </row>
    <row r="97" spans="2:8">
      <c r="C97" s="2" t="s">
        <v>84</v>
      </c>
    </row>
    <row r="98" spans="2:8">
      <c r="C98" s="2" t="s">
        <v>85</v>
      </c>
    </row>
    <row r="99" spans="2:8">
      <c r="C99" s="2" t="s">
        <v>86</v>
      </c>
    </row>
    <row r="100" spans="2:8">
      <c r="C100" s="9" t="s">
        <v>19</v>
      </c>
      <c r="D100" s="10"/>
      <c r="E100" s="11">
        <f>SUM(E96:E99)</f>
        <v>289</v>
      </c>
      <c r="F100" s="11">
        <f>SUM(F96:F99)</f>
        <v>10396.85</v>
      </c>
      <c r="G100" s="11">
        <f>SUM(G96:G99)</f>
        <v>1492.63</v>
      </c>
      <c r="H100" s="12">
        <f>IFERROR(G100/F100,"")</f>
        <v>0.1435655991959103</v>
      </c>
    </row>
    <row r="101" spans="2:8">
      <c r="B101" s="5" t="s">
        <v>20</v>
      </c>
      <c r="E101" s="16">
        <f>IFERROR((E100-('V38'!E100))/('V38'!E100),"")</f>
        <v>-0.25515463917525771</v>
      </c>
      <c r="F101" s="16">
        <f>IFERROR((F100-('V38'!F100))/('V38'!F100),"")</f>
        <v>-0.254609913824006</v>
      </c>
      <c r="G101" s="16">
        <f>IFERROR((G100-('V38'!G100))/('V38'!G100),"")</f>
        <v>-0.34705028040490288</v>
      </c>
      <c r="H101" s="16">
        <f>IFERROR(H100-('V38'!H100),"")</f>
        <v>-2.032508203894437E-2</v>
      </c>
    </row>
    <row r="102" spans="2:8">
      <c r="B102" s="5" t="s">
        <v>21</v>
      </c>
      <c r="E102" s="13">
        <f>E100/$B$112</f>
        <v>1.7203404964581226E-2</v>
      </c>
      <c r="F102" s="13">
        <f>F100/$B$112</f>
        <v>0.61889695815227097</v>
      </c>
      <c r="G102" s="13">
        <f>G100/$B$112</f>
        <v>8.8852312637657013E-2</v>
      </c>
    </row>
    <row r="103" spans="2:8">
      <c r="B103" s="5" t="s">
        <v>22</v>
      </c>
      <c r="E103" s="8">
        <f>IFERROR((E102-'V38'!E102)/'V38'!E102,"")</f>
        <v>-0.14364287761360361</v>
      </c>
      <c r="F103" s="8">
        <f>IFERROR((F102-'V38'!F102)/'V38'!F102,"")</f>
        <v>-0.14301660072604633</v>
      </c>
      <c r="G103" s="8">
        <f>IFERROR((G102-'V38'!G102)/'V38'!G102,"")</f>
        <v>-0.2492963340520444</v>
      </c>
    </row>
    <row r="104" spans="2:8">
      <c r="B104" s="5" t="s">
        <v>23</v>
      </c>
      <c r="E104" s="18">
        <f>(E102 / AVERAGE('V25'!E102,'V26'!E102,'V27'!E102,'V28'!E102,'V29'!E102,'V30'!E102,'V31'!E102,'V32'!E102,'V33'!E102,'V34'!E102,'V35'!E102,'V36'!E102,'V37'!E102,'V38'!E102)) * 100</f>
        <v>116.4452935242454</v>
      </c>
      <c r="F104" s="18">
        <f>(F102 / AVERAGE('V25'!F102,'V26'!F102,'V27'!F102,'V28'!F102,'V29'!F102,'V30'!F102,'V31'!F102,'V32'!F102,'V33'!F102,'V34'!F102,'V35'!F102,'V36'!F102,'V37'!F102,'V38'!F102)) * 100</f>
        <v>116.39879597748552</v>
      </c>
      <c r="G104" s="18">
        <f>(G102 / AVERAGE('V25'!G102,'V26'!G102,'V27'!G102,'V28'!G102,'V29'!G102,'V30'!G102,'V31'!G102,'V32'!G102,'V33'!G102,'V34'!G102,'V35'!G102,'V36'!G102,'V37'!G102,'V38'!G102)) * 100</f>
        <v>99.814395967876919</v>
      </c>
      <c r="H104" s="14">
        <f>IFERROR((G104*0.6)+(F104*0.4),"")</f>
        <v>106.44815597172035</v>
      </c>
    </row>
    <row r="106" spans="2:8">
      <c r="B106" s="2" t="s">
        <v>87</v>
      </c>
      <c r="E106" s="15">
        <f>E10+E20+E30+E40+E50+E60+E70+E80+E90+E100</f>
        <v>2574</v>
      </c>
      <c r="F106" s="15">
        <f>F10+F20+F30+F40+F50+F60+F70+F80+F90+F100</f>
        <v>82487.850000000006</v>
      </c>
      <c r="G106" s="15">
        <f>G10+G20+G30+G40+G50+G60+G70+G80+G90+G100</f>
        <v>17657.29</v>
      </c>
      <c r="H106" s="16">
        <f>IFERROR(G106/F106,"")</f>
        <v>0.21405928267011445</v>
      </c>
    </row>
    <row r="107" spans="2:8">
      <c r="B107" s="5" t="s">
        <v>88</v>
      </c>
      <c r="E107" s="16">
        <f>IFERROR((E106-'V38'!E106)/'V38'!E106,"")</f>
        <v>-0.18233799237611181</v>
      </c>
      <c r="F107" s="16">
        <f>IFERROR((F106-'V38'!F106)/'V38'!F106,"")</f>
        <v>-0.1698416931685518</v>
      </c>
      <c r="G107" s="16">
        <f>IFERROR((G106-'V38'!G106)/'V38'!G106,"")</f>
        <v>-0.14923978738330351</v>
      </c>
      <c r="H107" s="16">
        <f>IFERROR(H106-'V38'!H106,"")</f>
        <v>5.1836335416574619E-3</v>
      </c>
    </row>
    <row r="108" spans="2:8">
      <c r="B108" s="5" t="s">
        <v>21</v>
      </c>
      <c r="E108" s="13">
        <f>E106/$B$112</f>
        <v>0.15322340615512828</v>
      </c>
      <c r="F108" s="13">
        <f>F106/$B$112</f>
        <v>4.9102833501994168</v>
      </c>
      <c r="G108" s="13">
        <f>G106/$B$112</f>
        <v>1.0510917316506936</v>
      </c>
    </row>
    <row r="109" spans="2:8">
      <c r="B109" s="5" t="s">
        <v>22</v>
      </c>
      <c r="E109" s="8">
        <f>IFERROR((E108-'V38'!E108)/'V38'!E108,"")</f>
        <v>-5.992475651837751E-2</v>
      </c>
      <c r="F109" s="8">
        <f>IFERROR((F108-'V38'!F108)/'V38'!F108,"")</f>
        <v>-4.5557620207001E-2</v>
      </c>
      <c r="G109" s="8">
        <f>IFERROR((G108-'V38'!G108)/'V38'!G108,"")</f>
        <v>-2.1871376482000351E-2</v>
      </c>
    </row>
    <row r="110" spans="2:8">
      <c r="B110" s="5" t="s">
        <v>23</v>
      </c>
      <c r="E110" s="18">
        <f>IFERROR((E108 / AVERAGE('V25'!E108,'V26'!E108,'V27'!E108,'V28'!E108,'V29'!E108,'V30'!E108,'V31'!E108,'V32'!E108,'V33'!E108,'V34'!E108,'V35'!E108,'V36'!E108,'V37'!E108,'V38'!E108)) * 100,"")</f>
        <v>110.52717927001028</v>
      </c>
      <c r="F110" s="18">
        <f>IFERROR((F108 / AVERAGE('V25'!F108,'V26'!F108,'V27'!F108,'V28'!F108,'V29'!F108,'V30'!F108,'V31'!F108,'V32'!F108,'V33'!F108,'V34'!F108,'V35'!F108,'V36'!F108,'V37'!F108,'V38'!F108)) * 100,"")</f>
        <v>105.63215388092406</v>
      </c>
      <c r="G110" s="18">
        <f>IFERROR((G108 / AVERAGE('V25'!G108,'V26'!G108,'V27'!G108,'V28'!G108,'V29'!G108,'V30'!G108,'V31'!G108,'V32'!G108,'V33'!G108,'V34'!G108,'V35'!G108,'V36'!G108,'V37'!G108,'V38'!G108)) * 100,"")</f>
        <v>121.91048017196313</v>
      </c>
      <c r="H110" s="14">
        <f>IFERROR((G110*0.6)+(F110*0.4),"")</f>
        <v>115.39914965554752</v>
      </c>
    </row>
    <row r="111" spans="2:8">
      <c r="B111" s="5" t="s">
        <v>89</v>
      </c>
      <c r="C111" s="5" t="s">
        <v>90</v>
      </c>
      <c r="D111" s="5" t="s">
        <v>91</v>
      </c>
    </row>
    <row r="112" spans="2:8">
      <c r="B112" s="17">
        <v>16799</v>
      </c>
      <c r="C112" s="17">
        <f>B112-'V38'!$B$112</f>
        <v>-2515</v>
      </c>
      <c r="D112" s="19">
        <f>C112/'V38'!$B$112</f>
        <v>-0.1302164233198716</v>
      </c>
    </row>
  </sheetData>
  <conditionalFormatting sqref="E11:G11">
    <cfRule type="cellIs" dxfId="87" priority="1" operator="lessThan">
      <formula>0</formula>
    </cfRule>
    <cfRule type="cellIs" dxfId="86" priority="2" operator="greaterThan">
      <formula>0</formula>
    </cfRule>
  </conditionalFormatting>
  <conditionalFormatting sqref="E21:G21">
    <cfRule type="cellIs" dxfId="85" priority="3" operator="lessThan">
      <formula>0</formula>
    </cfRule>
    <cfRule type="cellIs" dxfId="84" priority="4" operator="greaterThan">
      <formula>0</formula>
    </cfRule>
  </conditionalFormatting>
  <conditionalFormatting sqref="E31:G31">
    <cfRule type="cellIs" dxfId="83" priority="5" operator="lessThan">
      <formula>0</formula>
    </cfRule>
    <cfRule type="cellIs" dxfId="82" priority="6" operator="greaterThan">
      <formula>0</formula>
    </cfRule>
  </conditionalFormatting>
  <conditionalFormatting sqref="E41:G41">
    <cfRule type="cellIs" dxfId="81" priority="7" operator="lessThan">
      <formula>0</formula>
    </cfRule>
    <cfRule type="cellIs" dxfId="80" priority="8" operator="greaterThan">
      <formula>0</formula>
    </cfRule>
  </conditionalFormatting>
  <conditionalFormatting sqref="E51:G51">
    <cfRule type="cellIs" dxfId="79" priority="9" operator="lessThan">
      <formula>0</formula>
    </cfRule>
    <cfRule type="cellIs" dxfId="78" priority="10" operator="greaterThan">
      <formula>0</formula>
    </cfRule>
  </conditionalFormatting>
  <conditionalFormatting sqref="E61:G61">
    <cfRule type="cellIs" dxfId="77" priority="11" operator="lessThan">
      <formula>0</formula>
    </cfRule>
    <cfRule type="cellIs" dxfId="76" priority="12" operator="greaterThan">
      <formula>0</formula>
    </cfRule>
  </conditionalFormatting>
  <conditionalFormatting sqref="E71:G71">
    <cfRule type="cellIs" dxfId="75" priority="13" operator="lessThan">
      <formula>0</formula>
    </cfRule>
    <cfRule type="cellIs" dxfId="74" priority="14" operator="greaterThan">
      <formula>0</formula>
    </cfRule>
  </conditionalFormatting>
  <conditionalFormatting sqref="E81:G81">
    <cfRule type="cellIs" dxfId="73" priority="15" operator="lessThan">
      <formula>0</formula>
    </cfRule>
    <cfRule type="cellIs" dxfId="72" priority="16" operator="greaterThan">
      <formula>0</formula>
    </cfRule>
  </conditionalFormatting>
  <conditionalFormatting sqref="E91:G91">
    <cfRule type="cellIs" dxfId="71" priority="17" operator="lessThan">
      <formula>0</formula>
    </cfRule>
    <cfRule type="cellIs" dxfId="70" priority="18" operator="greaterThan">
      <formula>0</formula>
    </cfRule>
  </conditionalFormatting>
  <conditionalFormatting sqref="E101:G101">
    <cfRule type="cellIs" dxfId="69" priority="19" operator="lessThan">
      <formula>0</formula>
    </cfRule>
    <cfRule type="cellIs" dxfId="68" priority="20" operator="greaterThan">
      <formula>0</formula>
    </cfRule>
  </conditionalFormatting>
  <conditionalFormatting sqref="E107:G107">
    <cfRule type="cellIs" dxfId="67" priority="21" operator="lessThan">
      <formula>0</formula>
    </cfRule>
    <cfRule type="cellIs" dxfId="66" priority="22" operator="greaterThan">
      <formula>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112"/>
  <sheetViews>
    <sheetView zoomScaleNormal="100" zoomScaleSheetLayoutView="100" workbookViewId="0"/>
  </sheetViews>
  <sheetFormatPr defaultRowHeight="15"/>
  <cols>
    <col min="2" max="2" width="16" customWidth="1"/>
    <col min="4" max="4" width="26" customWidth="1"/>
    <col min="5" max="5" width="10" customWidth="1"/>
    <col min="6" max="7" width="12" customWidth="1"/>
    <col min="8" max="8" width="10" customWidth="1"/>
    <col min="9" max="11" width="12" customWidth="1"/>
  </cols>
  <sheetData>
    <row r="1" spans="1:11">
      <c r="A1" s="1" t="s">
        <v>0</v>
      </c>
    </row>
    <row r="3" spans="1:11">
      <c r="C3" s="2" t="s">
        <v>138</v>
      </c>
    </row>
    <row r="4" spans="1:11">
      <c r="C4" s="3" t="s">
        <v>139</v>
      </c>
      <c r="I4" s="4">
        <v>40</v>
      </c>
      <c r="J4" s="5" t="s">
        <v>3</v>
      </c>
    </row>
    <row r="5" spans="1:11">
      <c r="A5" s="1">
        <v>1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</row>
    <row r="6" spans="1:11">
      <c r="B6" s="6" t="s">
        <v>132</v>
      </c>
      <c r="C6" s="2" t="s">
        <v>14</v>
      </c>
      <c r="D6" s="5" t="s">
        <v>133</v>
      </c>
      <c r="E6" s="7">
        <v>109</v>
      </c>
      <c r="F6" s="7">
        <v>8628.84</v>
      </c>
      <c r="G6" s="7">
        <v>1882.83</v>
      </c>
      <c r="H6" s="8">
        <f>IFERROR(G6/F6,"")</f>
        <v>0.21820198311708178</v>
      </c>
      <c r="I6" s="18">
        <f>IFERROR(((E6/$B$112) / AVERAGE('V26'!E6/'V26'!$B$112, 'V27'!E6/'V27'!$B$112, 'V28'!E6/'V28'!$B$112, 'V29'!E6/'V29'!$B$112, 'V30'!E6/'V30'!$B$112, 'V31'!E6/'V31'!$B$112, 'V32'!E6/'V32'!$B$112, 'V33'!E6/'V33'!$B$112, 'V34'!E6/'V34'!$B$112, 'V35'!E6/'V35'!$B$112, 'V36'!E6/'V36'!$B$112, 'V37'!E6/'V37'!$B$112, 'V38'!E6/'V38'!$B$112, 'V39'!E6/'V39'!$B$112)) * 100,"")</f>
        <v>78.436463615528197</v>
      </c>
      <c r="J6" s="18">
        <f>IFERROR(((F6/$B$112) / AVERAGE('V26'!F6/'V26'!$B$112, 'V27'!F6/'V27'!$B$112, 'V28'!F6/'V28'!$B$112, 'V29'!F6/'V29'!$B$112, 'V30'!F6/'V30'!$B$112, 'V31'!F6/'V31'!$B$112, 'V32'!F6/'V32'!$B$112, 'V33'!F6/'V33'!$B$112, 'V34'!F6/'V34'!$B$112, 'V35'!F6/'V35'!$B$112, 'V36'!F6/'V36'!$B$112, 'V37'!F6/'V37'!$B$112, 'V38'!F6/'V38'!$B$112, 'V39'!F6/'V39'!$B$112)) * 100,"")</f>
        <v>82.715821743466265</v>
      </c>
      <c r="K6" s="18">
        <f>IFERROR(((G6/$B$112) / AVERAGE('V26'!G6/'V26'!$B$112, 'V27'!G6/'V27'!$B$112, 'V28'!G6/'V28'!$B$112, 'V29'!G6/'V29'!$B$112, 'V30'!G6/'V30'!$B$112, 'V31'!G6/'V31'!$B$112, 'V32'!G6/'V32'!$B$112, 'V33'!G6/'V33'!$B$112, 'V34'!G6/'V34'!$B$112, 'V35'!G6/'V35'!$B$112, 'V36'!G6/'V36'!$B$112, 'V37'!G6/'V37'!$B$112, 'V38'!G6/'V38'!$B$112, 'V39'!G6/'V39'!$B$112)) * 100,"")</f>
        <v>83.360136116288217</v>
      </c>
    </row>
    <row r="7" spans="1:11">
      <c r="C7" s="2" t="s">
        <v>16</v>
      </c>
    </row>
    <row r="8" spans="1:11">
      <c r="C8" s="2" t="s">
        <v>17</v>
      </c>
    </row>
    <row r="9" spans="1:11">
      <c r="C9" s="2" t="s">
        <v>18</v>
      </c>
    </row>
    <row r="10" spans="1:11">
      <c r="C10" s="9" t="s">
        <v>19</v>
      </c>
      <c r="D10" s="10"/>
      <c r="E10" s="11">
        <f>SUM(E6:E9)</f>
        <v>109</v>
      </c>
      <c r="F10" s="11">
        <f>SUM(F6:F9)</f>
        <v>8628.84</v>
      </c>
      <c r="G10" s="11">
        <f>SUM(G6:G9)</f>
        <v>1882.83</v>
      </c>
      <c r="H10" s="12">
        <f>IFERROR(G10/F10,"")</f>
        <v>0.21820198311708178</v>
      </c>
    </row>
    <row r="11" spans="1:11">
      <c r="B11" s="5" t="s">
        <v>20</v>
      </c>
      <c r="E11" s="16">
        <f>IFERROR((E10-('V39'!E10))/('V39'!E10),"")</f>
        <v>-0.18656716417910449</v>
      </c>
      <c r="F11" s="16">
        <f>IFERROR((F10-('V39'!F10))/('V39'!F10),"")</f>
        <v>-0.1869402985074626</v>
      </c>
      <c r="G11" s="16">
        <f>IFERROR((G10-('V39'!G10))/('V39'!G10),"")</f>
        <v>-0.18827439923433095</v>
      </c>
      <c r="H11" s="16">
        <f>IFERROR(H10-('V39'!H10),"")</f>
        <v>-3.5862294352428936E-4</v>
      </c>
    </row>
    <row r="12" spans="1:11">
      <c r="B12" s="5" t="s">
        <v>21</v>
      </c>
      <c r="E12" s="13">
        <f>E10/$B$112</f>
        <v>5.85895506342722E-3</v>
      </c>
      <c r="F12" s="13">
        <f>F10/$B$112</f>
        <v>0.46381638357342508</v>
      </c>
      <c r="G12" s="13">
        <f>G10/$B$112</f>
        <v>0.10120565469791443</v>
      </c>
    </row>
    <row r="13" spans="1:11">
      <c r="B13" s="5" t="s">
        <v>22</v>
      </c>
      <c r="E13" s="8">
        <f>IFERROR((E12-'V39'!E12)/'V39'!E12,"")</f>
        <v>-0.26548816335437408</v>
      </c>
      <c r="F13" s="8">
        <f>IFERROR((F12-'V39'!F12)/'V39'!F12,"")</f>
        <v>-0.26582509538953264</v>
      </c>
      <c r="G13" s="8">
        <f>IFERROR((G12-'V39'!G12)/'V39'!G12,"")</f>
        <v>-0.2670297588012</v>
      </c>
    </row>
    <row r="14" spans="1:11">
      <c r="B14" s="5" t="s">
        <v>23</v>
      </c>
      <c r="E14" s="18">
        <f>(E12 / AVERAGE('V25'!E12,'V26'!E12,'V27'!E12,'V28'!E12,'V29'!E12,'V30'!E12,'V31'!E12,'V32'!E12,'V33'!E12,'V34'!E12,'V35'!E12,'V36'!E12,'V37'!E12,'V38'!E12,'V39'!E12)) * 100</f>
        <v>77.227916074780737</v>
      </c>
      <c r="F14" s="18">
        <f>(F12 / AVERAGE('V25'!F12,'V26'!F12,'V27'!F12,'V28'!F12,'V29'!F12,'V30'!F12,'V31'!F12,'V32'!F12,'V33'!F12,'V34'!F12,'V35'!F12,'V36'!F12,'V37'!F12,'V38'!F12,'V39'!F12)) * 100</f>
        <v>81.717421438568493</v>
      </c>
      <c r="G14" s="18">
        <f>(G12 / AVERAGE('V25'!G12,'V26'!G12,'V27'!G12,'V28'!G12,'V29'!G12,'V30'!G12,'V31'!G12,'V32'!G12,'V33'!G12,'V34'!G12,'V35'!G12,'V36'!G12,'V37'!G12,'V38'!G12,'V39'!G12)) * 100</f>
        <v>81.391680107371315</v>
      </c>
      <c r="H14" s="14">
        <f>IFERROR((G14*0.6)+(F14*0.4),"")</f>
        <v>81.52197663985018</v>
      </c>
    </row>
    <row r="15" spans="1:11">
      <c r="A15" s="1">
        <v>2</v>
      </c>
      <c r="C15" s="2" t="s">
        <v>24</v>
      </c>
      <c r="D15" s="2" t="s">
        <v>5</v>
      </c>
      <c r="E15" s="2" t="s">
        <v>6</v>
      </c>
      <c r="F15" s="2" t="s">
        <v>7</v>
      </c>
      <c r="G15" s="2" t="s">
        <v>8</v>
      </c>
      <c r="H15" s="2" t="s">
        <v>9</v>
      </c>
      <c r="I15" s="2" t="s">
        <v>10</v>
      </c>
      <c r="J15" s="2" t="s">
        <v>11</v>
      </c>
      <c r="K15" s="2" t="s">
        <v>12</v>
      </c>
    </row>
    <row r="16" spans="1:11">
      <c r="B16" s="6" t="s">
        <v>25</v>
      </c>
      <c r="C16" s="2" t="s">
        <v>26</v>
      </c>
      <c r="D16" s="5" t="s">
        <v>134</v>
      </c>
      <c r="E16" s="7">
        <v>170</v>
      </c>
      <c r="F16" s="7">
        <v>3179.88</v>
      </c>
      <c r="G16" s="7">
        <v>756.91</v>
      </c>
      <c r="H16" s="8">
        <f>IFERROR(G16/F16,"")</f>
        <v>0.23803099488030993</v>
      </c>
      <c r="I16" s="18">
        <f>IFERROR(((E16/$B$112) / AVERAGE('V26'!E16/'V26'!$B$112, 'V27'!E16/'V27'!$B$112, 'V28'!E16/'V28'!$B$112, 'V29'!E16/'V29'!$B$112, 'V30'!E16/'V30'!$B$112, 'V31'!E16/'V31'!$B$112, 'V32'!E16/'V32'!$B$112, 'V33'!E16/'V33'!$B$112, 'V34'!E16/'V34'!$B$112, 'V35'!E16/'V35'!$B$112, 'V36'!E16/'V36'!$B$112, 'V37'!E16/'V37'!$B$112, 'V38'!E16/'V38'!$B$112, 'V39'!E16/'V39'!$B$112)) * 100,"")</f>
        <v>80.213423545624934</v>
      </c>
      <c r="J16" s="18">
        <f>IFERROR(((F16/$B$112) / AVERAGE('V26'!F16/'V26'!$B$112, 'V27'!F16/'V27'!$B$112, 'V28'!F16/'V28'!$B$112, 'V29'!F16/'V29'!$B$112, 'V30'!F16/'V30'!$B$112, 'V31'!F16/'V31'!$B$112, 'V32'!F16/'V32'!$B$112, 'V33'!F16/'V33'!$B$112, 'V34'!F16/'V34'!$B$112, 'V35'!F16/'V35'!$B$112, 'V36'!F16/'V36'!$B$112, 'V37'!F16/'V37'!$B$112, 'V38'!F16/'V38'!$B$112, 'V39'!F16/'V39'!$B$112)) * 100,"")</f>
        <v>83.15161882923644</v>
      </c>
      <c r="K16" s="18">
        <f>IFERROR(((G16/$B$112) / AVERAGE('V26'!G16/'V26'!$B$112, 'V27'!G16/'V27'!$B$112, 'V28'!G16/'V28'!$B$112, 'V29'!G16/'V29'!$B$112, 'V30'!G16/'V30'!$B$112, 'V31'!G16/'V31'!$B$112, 'V32'!G16/'V32'!$B$112, 'V33'!G16/'V33'!$B$112, 'V34'!G16/'V34'!$B$112, 'V35'!G16/'V35'!$B$112, 'V36'!G16/'V36'!$B$112, 'V37'!G16/'V37'!$B$112, 'V38'!G16/'V38'!$B$112, 'V39'!G16/'V39'!$B$112)) * 100,"")</f>
        <v>110.89181187679826</v>
      </c>
    </row>
    <row r="17" spans="1:11">
      <c r="C17" s="2" t="s">
        <v>28</v>
      </c>
    </row>
    <row r="18" spans="1:11">
      <c r="C18" s="2" t="s">
        <v>29</v>
      </c>
    </row>
    <row r="19" spans="1:11">
      <c r="C19" s="2" t="s">
        <v>30</v>
      </c>
    </row>
    <row r="20" spans="1:11">
      <c r="C20" s="9" t="s">
        <v>19</v>
      </c>
      <c r="D20" s="10"/>
      <c r="E20" s="11">
        <f>SUM(E16:E19)</f>
        <v>170</v>
      </c>
      <c r="F20" s="11">
        <f>SUM(F16:F19)</f>
        <v>3179.88</v>
      </c>
      <c r="G20" s="11">
        <f>SUM(G16:G19)</f>
        <v>756.91</v>
      </c>
      <c r="H20" s="12">
        <f>IFERROR(G20/F20,"")</f>
        <v>0.23803099488030993</v>
      </c>
    </row>
    <row r="21" spans="1:11">
      <c r="B21" s="5" t="s">
        <v>20</v>
      </c>
      <c r="E21" s="16">
        <f>IFERROR((E20-('V39'!E20))/('V39'!E20),"")</f>
        <v>-0.2857142857142857</v>
      </c>
      <c r="F21" s="16">
        <f>IFERROR((F20-('V39'!F20))/('V39'!F20),"")</f>
        <v>-0.28452628452628442</v>
      </c>
      <c r="G21" s="16">
        <f>IFERROR((G20-('V39'!G20))/('V39'!G20),"")</f>
        <v>-0.27532360600490202</v>
      </c>
      <c r="H21" s="16">
        <f>IFERROR(H20-('V39'!H20),"")</f>
        <v>3.0227598720748983E-3</v>
      </c>
    </row>
    <row r="22" spans="1:11">
      <c r="B22" s="5" t="s">
        <v>21</v>
      </c>
      <c r="E22" s="13">
        <f>E20/$B$112</f>
        <v>9.1378198236938286E-3</v>
      </c>
      <c r="F22" s="13">
        <f>F20/$B$112</f>
        <v>0.17092453235863256</v>
      </c>
      <c r="G22" s="13">
        <f>G20/$B$112</f>
        <v>4.0685336486777038E-2</v>
      </c>
    </row>
    <row r="23" spans="1:11">
      <c r="B23" s="5" t="s">
        <v>22</v>
      </c>
      <c r="E23" s="8">
        <f>IFERROR((E22-'V39'!E22)/'V39'!E22,"")</f>
        <v>-0.35501581841078728</v>
      </c>
      <c r="F23" s="8">
        <f>IFERROR((F22-'V39'!F22)/'V39'!F22,"")</f>
        <v>-0.35394307964722921</v>
      </c>
      <c r="G23" s="8">
        <f>IFERROR((G22-'V39'!G22)/'V39'!G22,"")</f>
        <v>-0.34563326474286965</v>
      </c>
    </row>
    <row r="24" spans="1:11">
      <c r="B24" s="5" t="s">
        <v>23</v>
      </c>
      <c r="E24" s="18">
        <f>(E22 / AVERAGE('V25'!E22,'V26'!E22,'V27'!E22,'V28'!E22,'V29'!E22,'V30'!E22,'V31'!E22,'V32'!E22,'V33'!E22,'V34'!E22,'V35'!E22,'V36'!E22,'V37'!E22,'V38'!E22,'V39'!E22)) * 100</f>
        <v>81.796971373636808</v>
      </c>
      <c r="F24" s="18">
        <f>(F22 / AVERAGE('V25'!F22,'V26'!F22,'V27'!F22,'V28'!F22,'V29'!F22,'V30'!F22,'V31'!F22,'V32'!F22,'V33'!F22,'V34'!F22,'V35'!F22,'V36'!F22,'V37'!F22,'V38'!F22,'V39'!F22)) * 100</f>
        <v>84.125043287609586</v>
      </c>
      <c r="G24" s="18">
        <f>(G22 / AVERAGE('V25'!G22,'V26'!G22,'V27'!G22,'V28'!G22,'V29'!G22,'V30'!G22,'V31'!G22,'V32'!G22,'V33'!G22,'V34'!G22,'V35'!G22,'V36'!G22,'V37'!G22,'V38'!G22,'V39'!G22)) * 100</f>
        <v>110.45078149263136</v>
      </c>
      <c r="H24" s="14">
        <f>IFERROR((G24*0.6)+(F24*0.4),"")</f>
        <v>99.920486210622641</v>
      </c>
    </row>
    <row r="25" spans="1:11">
      <c r="A25" s="1">
        <v>3</v>
      </c>
      <c r="C25" s="2" t="s">
        <v>31</v>
      </c>
      <c r="D25" s="2" t="s">
        <v>5</v>
      </c>
      <c r="E25" s="2" t="s">
        <v>6</v>
      </c>
      <c r="F25" s="2" t="s">
        <v>7</v>
      </c>
      <c r="G25" s="2" t="s">
        <v>8</v>
      </c>
      <c r="H25" s="2" t="s">
        <v>9</v>
      </c>
      <c r="I25" s="2" t="s">
        <v>10</v>
      </c>
      <c r="J25" s="2" t="s">
        <v>11</v>
      </c>
      <c r="K25" s="2" t="s">
        <v>12</v>
      </c>
    </row>
    <row r="26" spans="1:11">
      <c r="B26" s="6" t="s">
        <v>32</v>
      </c>
      <c r="C26" s="2" t="s">
        <v>33</v>
      </c>
      <c r="D26" s="5" t="s">
        <v>34</v>
      </c>
      <c r="E26" s="7">
        <v>672</v>
      </c>
      <c r="F26" s="7">
        <v>15869.1</v>
      </c>
      <c r="G26" s="7">
        <v>3579.06</v>
      </c>
      <c r="H26" s="8">
        <f>IFERROR(G26/F26,"")</f>
        <v>0.22553641983477324</v>
      </c>
      <c r="I26" s="18">
        <f>IFERROR(((E26/$B$112) / AVERAGE('V26'!E26/'V26'!$B$112, 'V27'!E26/'V27'!$B$112, 'V28'!E26/'V28'!$B$112, 'V29'!E26/'V29'!$B$112, 'V30'!E26/'V30'!$B$112, 'V31'!E26/'V31'!$B$112, 'V32'!E26/'V32'!$B$112, 'V33'!E26/'V33'!$B$112, 'V34'!E26/'V34'!$B$112, 'V35'!E26/'V35'!$B$112, 'V36'!E26/'V36'!$B$112, 'V37'!E26/'V37'!$B$112, 'V38'!E26/'V38'!$B$112, 'V39'!E26/'V39'!$B$112)) * 100,"")</f>
        <v>111.99302488853098</v>
      </c>
      <c r="J26" s="18">
        <f>IFERROR(((F26/$B$112) / AVERAGE('V26'!F26/'V26'!$B$112, 'V27'!F26/'V27'!$B$112, 'V28'!F26/'V28'!$B$112, 'V29'!F26/'V29'!$B$112, 'V30'!F26/'V30'!$B$112, 'V31'!F26/'V31'!$B$112, 'V32'!F26/'V32'!$B$112, 'V33'!F26/'V33'!$B$112, 'V34'!F26/'V34'!$B$112, 'V35'!F26/'V35'!$B$112, 'V36'!F26/'V36'!$B$112, 'V37'!F26/'V37'!$B$112, 'V38'!F26/'V38'!$B$112, 'V39'!F26/'V39'!$B$112)) * 100,"")</f>
        <v>111.93420990696028</v>
      </c>
      <c r="K26" s="18">
        <f>IFERROR(((G26/$B$112) / AVERAGE('V26'!G26/'V26'!$B$112, 'V27'!G26/'V27'!$B$112, 'V28'!G26/'V28'!$B$112, 'V29'!G26/'V29'!$B$112, 'V30'!G26/'V30'!$B$112, 'V31'!G26/'V31'!$B$112, 'V32'!G26/'V32'!$B$112, 'V33'!G26/'V33'!$B$112, 'V34'!G26/'V34'!$B$112, 'V35'!G26/'V35'!$B$112, 'V36'!G26/'V36'!$B$112, 'V37'!G26/'V37'!$B$112, 'V38'!G26/'V38'!$B$112, 'V39'!G26/'V39'!$B$112)) * 100,"")</f>
        <v>114.89691359925564</v>
      </c>
    </row>
    <row r="27" spans="1:11">
      <c r="C27" s="2" t="s">
        <v>35</v>
      </c>
    </row>
    <row r="28" spans="1:11">
      <c r="C28" s="2" t="s">
        <v>36</v>
      </c>
    </row>
    <row r="29" spans="1:11">
      <c r="C29" s="2" t="s">
        <v>37</v>
      </c>
    </row>
    <row r="30" spans="1:11">
      <c r="C30" s="9" t="s">
        <v>19</v>
      </c>
      <c r="D30" s="10"/>
      <c r="E30" s="11">
        <f>SUM(E26:E29)</f>
        <v>672</v>
      </c>
      <c r="F30" s="11">
        <f>SUM(F26:F29)</f>
        <v>15869.1</v>
      </c>
      <c r="G30" s="11">
        <f>SUM(G26:G29)</f>
        <v>3579.06</v>
      </c>
      <c r="H30" s="12">
        <f>IFERROR(G30/F30,"")</f>
        <v>0.22553641983477324</v>
      </c>
    </row>
    <row r="31" spans="1:11">
      <c r="B31" s="5" t="s">
        <v>20</v>
      </c>
      <c r="E31" s="16">
        <f>IFERROR((E30-('V39'!E30))/('V39'!E30),"")</f>
        <v>6.8362480127186015E-2</v>
      </c>
      <c r="F31" s="16">
        <f>IFERROR((F30-('V39'!F30))/('V39'!F30),"")</f>
        <v>6.7925818352138095E-2</v>
      </c>
      <c r="G31" s="16">
        <f>IFERROR((G30-('V39'!G30))/('V39'!G30),"")</f>
        <v>9.6136177093924982E-2</v>
      </c>
      <c r="H31" s="16">
        <f>IFERROR(H30-('V39'!H30),"")</f>
        <v>5.8044460586506585E-3</v>
      </c>
    </row>
    <row r="32" spans="1:11">
      <c r="B32" s="5" t="s">
        <v>21</v>
      </c>
      <c r="E32" s="13">
        <f>E30/$B$112</f>
        <v>3.6121264244248552E-2</v>
      </c>
      <c r="F32" s="13">
        <f>F30/$B$112</f>
        <v>0.8529939797892927</v>
      </c>
      <c r="G32" s="13">
        <f>G30/$B$112</f>
        <v>0.19238120834229197</v>
      </c>
    </row>
    <row r="33" spans="1:11">
      <c r="B33" s="5" t="s">
        <v>22</v>
      </c>
      <c r="E33" s="8">
        <f>IFERROR((E32-'V39'!E32)/'V39'!E32,"")</f>
        <v>-3.529234016036345E-2</v>
      </c>
      <c r="F33" s="8">
        <f>IFERROR((F32-'V39'!F32)/'V39'!F32,"")</f>
        <v>-3.5686636073018273E-2</v>
      </c>
      <c r="G33" s="8">
        <f>IFERROR((G32-'V39'!G32)/'V39'!G32,"")</f>
        <v>-1.0213306869444968E-2</v>
      </c>
    </row>
    <row r="34" spans="1:11">
      <c r="B34" s="5" t="s">
        <v>23</v>
      </c>
      <c r="E34" s="18">
        <f>(E32 / AVERAGE('V25'!E32,'V26'!E32,'V27'!E32,'V28'!E32,'V29'!E32,'V30'!E32,'V31'!E32,'V32'!E32,'V33'!E32,'V34'!E32,'V35'!E32,'V36'!E32,'V37'!E32,'V38'!E32,'V39'!E32)) * 100</f>
        <v>110.81851899306446</v>
      </c>
      <c r="F34" s="18">
        <f>(F32 / AVERAGE('V25'!F32,'V26'!F32,'V27'!F32,'V28'!F32,'V29'!F32,'V30'!F32,'V31'!F32,'V32'!F32,'V33'!F32,'V34'!F32,'V35'!F32,'V36'!F32,'V37'!F32,'V38'!F32,'V39'!F32)) * 100</f>
        <v>110.76028944694355</v>
      </c>
      <c r="G34" s="18">
        <f>(G32 / AVERAGE('V25'!G32,'V26'!G32,'V27'!G32,'V28'!G32,'V29'!G32,'V30'!G32,'V31'!G32,'V32'!G32,'V33'!G32,'V34'!G32,'V35'!G32,'V36'!G32,'V37'!G32,'V38'!G32,'V39'!G32)) * 100</f>
        <v>113.70317407199167</v>
      </c>
      <c r="H34" s="14">
        <f>IFERROR((G34*0.6)+(F34*0.4),"")</f>
        <v>112.52602022197243</v>
      </c>
    </row>
    <row r="35" spans="1:11">
      <c r="A35" s="1">
        <v>4</v>
      </c>
      <c r="C35" s="2" t="s">
        <v>38</v>
      </c>
      <c r="D35" s="2" t="s">
        <v>5</v>
      </c>
      <c r="E35" s="2" t="s">
        <v>6</v>
      </c>
      <c r="F35" s="2" t="s">
        <v>7</v>
      </c>
      <c r="G35" s="2" t="s">
        <v>8</v>
      </c>
      <c r="H35" s="2" t="s">
        <v>9</v>
      </c>
      <c r="I35" s="2" t="s">
        <v>10</v>
      </c>
      <c r="J35" s="2" t="s">
        <v>11</v>
      </c>
      <c r="K35" s="2" t="s">
        <v>12</v>
      </c>
    </row>
    <row r="36" spans="1:11">
      <c r="B36" s="6" t="s">
        <v>39</v>
      </c>
      <c r="C36" s="2" t="s">
        <v>40</v>
      </c>
      <c r="D36" s="5" t="s">
        <v>41</v>
      </c>
      <c r="E36" s="7">
        <v>505</v>
      </c>
      <c r="F36" s="7">
        <v>11926.74</v>
      </c>
      <c r="G36" s="7">
        <v>2693.52</v>
      </c>
      <c r="H36" s="8">
        <f>IFERROR(G36/F36,"")</f>
        <v>0.22583874554153105</v>
      </c>
      <c r="I36" s="18">
        <f>IFERROR(((E36/$B$112) / AVERAGE('V26'!E36/'V26'!$B$112, 'V27'!E36/'V27'!$B$112, 'V28'!E36/'V28'!$B$112, 'V29'!E36/'V29'!$B$112, 'V30'!E36/'V30'!$B$112, 'V31'!E36/'V31'!$B$112, 'V32'!E36/'V32'!$B$112, 'V33'!E36/'V33'!$B$112, 'V34'!E36/'V34'!$B$112, 'V35'!E36/'V35'!$B$112, 'V36'!E36/'V36'!$B$112, 'V37'!E36/'V37'!$B$112, 'V38'!E36/'V38'!$B$112, 'V39'!E36/'V39'!$B$112)) * 100,"")</f>
        <v>95.682909544408972</v>
      </c>
      <c r="J36" s="18">
        <f>IFERROR(((F36/$B$112) / AVERAGE('V26'!F36/'V26'!$B$112, 'V27'!F36/'V27'!$B$112, 'V28'!F36/'V28'!$B$112, 'V29'!F36/'V29'!$B$112, 'V30'!F36/'V30'!$B$112, 'V31'!F36/'V31'!$B$112, 'V32'!F36/'V32'!$B$112, 'V33'!F36/'V33'!$B$112, 'V34'!F36/'V34'!$B$112, 'V35'!F36/'V35'!$B$112, 'V36'!F36/'V36'!$B$112, 'V37'!F36/'V37'!$B$112, 'V38'!F36/'V38'!$B$112, 'V39'!F36/'V39'!$B$112)) * 100,"")</f>
        <v>95.663532626777609</v>
      </c>
      <c r="K36" s="18">
        <f>IFERROR(((G36/$B$112) / AVERAGE('V26'!G36/'V26'!$B$112, 'V27'!G36/'V27'!$B$112, 'V28'!G36/'V28'!$B$112, 'V29'!G36/'V29'!$B$112, 'V30'!G36/'V30'!$B$112, 'V31'!G36/'V31'!$B$112, 'V32'!G36/'V32'!$B$112, 'V33'!G36/'V33'!$B$112, 'V34'!G36/'V34'!$B$112, 'V35'!G36/'V35'!$B$112, 'V36'!G36/'V36'!$B$112, 'V37'!G36/'V37'!$B$112, 'V38'!G36/'V38'!$B$112, 'V39'!G36/'V39'!$B$112)) * 100,"")</f>
        <v>97.213727485059593</v>
      </c>
    </row>
    <row r="37" spans="1:11">
      <c r="C37" s="2" t="s">
        <v>42</v>
      </c>
    </row>
    <row r="38" spans="1:11">
      <c r="C38" s="2" t="s">
        <v>43</v>
      </c>
    </row>
    <row r="39" spans="1:11">
      <c r="C39" s="2" t="s">
        <v>44</v>
      </c>
    </row>
    <row r="40" spans="1:11">
      <c r="C40" s="9" t="s">
        <v>19</v>
      </c>
      <c r="D40" s="10"/>
      <c r="E40" s="11">
        <f>SUM(E36:E39)</f>
        <v>505</v>
      </c>
      <c r="F40" s="11">
        <f>SUM(F36:F39)</f>
        <v>11926.74</v>
      </c>
      <c r="G40" s="11">
        <f>SUM(G36:G39)</f>
        <v>2693.52</v>
      </c>
      <c r="H40" s="12">
        <f>IFERROR(G40/F40,"")</f>
        <v>0.22583874554153105</v>
      </c>
    </row>
    <row r="41" spans="1:11">
      <c r="B41" s="5" t="s">
        <v>20</v>
      </c>
      <c r="E41" s="16">
        <f>IFERROR((E40-('V39'!E40))/('V39'!E40),"")</f>
        <v>-6.8265682656826573E-2</v>
      </c>
      <c r="F41" s="16">
        <f>IFERROR((F40-('V39'!F40))/('V39'!F40),"")</f>
        <v>-6.8187038556193624E-2</v>
      </c>
      <c r="G41" s="16">
        <f>IFERROR((G40-('V39'!G40))/('V39'!G40),"")</f>
        <v>-3.9640603273077279E-2</v>
      </c>
      <c r="H41" s="16">
        <f>IFERROR(H40-('V39'!H40),"")</f>
        <v>6.7129984420349897E-3</v>
      </c>
    </row>
    <row r="42" spans="1:11">
      <c r="B42" s="5" t="s">
        <v>21</v>
      </c>
      <c r="E42" s="13">
        <f>E40/$B$112</f>
        <v>2.7144700064502258E-2</v>
      </c>
      <c r="F42" s="13">
        <f>F40/$B$112</f>
        <v>0.64108471296495373</v>
      </c>
      <c r="G42" s="13">
        <f>G40/$B$112</f>
        <v>0.14478176736185766</v>
      </c>
    </row>
    <row r="43" spans="1:11">
      <c r="B43" s="5" t="s">
        <v>22</v>
      </c>
      <c r="E43" s="8">
        <f>IFERROR((E42-'V39'!E42)/'V39'!E42,"")</f>
        <v>-0.1586645454177612</v>
      </c>
      <c r="F43" s="8">
        <f>IFERROR((F42-'V39'!F42)/'V39'!F42,"")</f>
        <v>-0.15859353153652425</v>
      </c>
      <c r="G43" s="8">
        <f>IFERROR((G42-'V39'!G42)/'V39'!G42,"")</f>
        <v>-0.13281673265880597</v>
      </c>
    </row>
    <row r="44" spans="1:11">
      <c r="B44" s="5" t="s">
        <v>23</v>
      </c>
      <c r="E44" s="18">
        <f>(E42 / AVERAGE('V25'!E42,'V26'!E42,'V27'!E42,'V28'!E42,'V29'!E42,'V30'!E42,'V31'!E42,'V32'!E42,'V33'!E42,'V34'!E42,'V35'!E42,'V36'!E42,'V37'!E42,'V38'!E42,'V39'!E42)) * 100</f>
        <v>95.426269385840541</v>
      </c>
      <c r="F44" s="18">
        <f>(F42 / AVERAGE('V25'!F42,'V26'!F42,'V27'!F42,'V28'!F42,'V29'!F42,'V30'!F42,'V31'!F42,'V32'!F42,'V33'!F42,'V34'!F42,'V35'!F42,'V36'!F42,'V37'!F42,'V38'!F42,'V39'!F42)) * 100</f>
        <v>95.406871173764756</v>
      </c>
      <c r="G44" s="18">
        <f>(G42 / AVERAGE('V25'!G42,'V26'!G42,'V27'!G42,'V28'!G42,'V29'!G42,'V30'!G42,'V31'!G42,'V32'!G42,'V33'!G42,'V34'!G42,'V35'!G42,'V36'!G42,'V37'!G42,'V38'!G42,'V39'!G42)) * 100</f>
        <v>96.889254507841002</v>
      </c>
      <c r="H44" s="14">
        <f>IFERROR((G44*0.6)+(F44*0.4),"")</f>
        <v>96.296301174210498</v>
      </c>
    </row>
    <row r="45" spans="1:11">
      <c r="A45" s="1">
        <v>5</v>
      </c>
      <c r="C45" s="2" t="s">
        <v>45</v>
      </c>
      <c r="D45" s="2" t="s">
        <v>5</v>
      </c>
      <c r="E45" s="2" t="s">
        <v>6</v>
      </c>
      <c r="F45" s="2" t="s">
        <v>7</v>
      </c>
      <c r="G45" s="2" t="s">
        <v>8</v>
      </c>
      <c r="H45" s="2" t="s">
        <v>9</v>
      </c>
      <c r="I45" s="2" t="s">
        <v>10</v>
      </c>
      <c r="J45" s="2" t="s">
        <v>11</v>
      </c>
      <c r="K45" s="2" t="s">
        <v>12</v>
      </c>
    </row>
    <row r="46" spans="1:11">
      <c r="B46" s="6" t="s">
        <v>124</v>
      </c>
      <c r="C46" s="2" t="s">
        <v>47</v>
      </c>
      <c r="D46" s="5" t="s">
        <v>125</v>
      </c>
      <c r="E46" s="7">
        <v>113</v>
      </c>
      <c r="F46" s="7">
        <v>8949.6</v>
      </c>
      <c r="G46" s="7">
        <v>2621.6</v>
      </c>
      <c r="H46" s="8">
        <f>IFERROR(G46/F46,"")</f>
        <v>0.29292929292929293</v>
      </c>
      <c r="I46" s="18">
        <f>IFERROR(((E46/$B$112) / AVERAGE('V26'!E46/'V26'!$B$112, 'V27'!E46/'V27'!$B$112, 'V28'!E46/'V28'!$B$112, 'V29'!E46/'V29'!$B$112, 'V30'!E46/'V30'!$B$112, 'V31'!E46/'V31'!$B$112, 'V32'!E46/'V32'!$B$112, 'V33'!E46/'V33'!$B$112, 'V34'!E46/'V34'!$B$112, 'V35'!E46/'V35'!$B$112, 'V36'!E46/'V36'!$B$112, 'V37'!E46/'V37'!$B$112, 'V38'!E46/'V38'!$B$112, 'V39'!E46/'V39'!$B$112)) * 100,"")</f>
        <v>61.908652549013709</v>
      </c>
      <c r="J46" s="18">
        <f>IFERROR(((F46/$B$112) / AVERAGE('V26'!F46/'V26'!$B$112, 'V27'!F46/'V27'!$B$112, 'V28'!F46/'V28'!$B$112, 'V29'!F46/'V29'!$B$112, 'V30'!F46/'V30'!$B$112, 'V31'!F46/'V31'!$B$112, 'V32'!F46/'V32'!$B$112, 'V33'!F46/'V33'!$B$112, 'V34'!F46/'V34'!$B$112, 'V35'!F46/'V35'!$B$112, 'V36'!F46/'V36'!$B$112, 'V37'!F46/'V37'!$B$112, 'V38'!F46/'V38'!$B$112, 'V39'!F46/'V39'!$B$112)) * 100,"")</f>
        <v>63.048914111608489</v>
      </c>
      <c r="K46" s="18">
        <f>IFERROR(((G46/$B$112) / AVERAGE('V26'!G46/'V26'!$B$112, 'V27'!G46/'V27'!$B$112, 'V28'!G46/'V28'!$B$112, 'V29'!G46/'V29'!$B$112, 'V30'!G46/'V30'!$B$112, 'V31'!G46/'V31'!$B$112, 'V32'!G46/'V32'!$B$112, 'V33'!G46/'V33'!$B$112, 'V34'!G46/'V34'!$B$112, 'V35'!G46/'V35'!$B$112, 'V36'!G46/'V36'!$B$112, 'V37'!G46/'V37'!$B$112, 'V38'!G46/'V38'!$B$112, 'V39'!G46/'V39'!$B$112)) * 100,"")</f>
        <v>167.63467840160348</v>
      </c>
    </row>
    <row r="47" spans="1:11">
      <c r="C47" s="2" t="s">
        <v>49</v>
      </c>
    </row>
    <row r="48" spans="1:11">
      <c r="C48" s="2" t="s">
        <v>50</v>
      </c>
    </row>
    <row r="49" spans="1:11">
      <c r="C49" s="2" t="s">
        <v>51</v>
      </c>
    </row>
    <row r="50" spans="1:11">
      <c r="C50" s="9" t="s">
        <v>19</v>
      </c>
      <c r="D50" s="10"/>
      <c r="E50" s="11">
        <f>SUM(E46:E49)</f>
        <v>113</v>
      </c>
      <c r="F50" s="11">
        <f>SUM(F46:F49)</f>
        <v>8949.6</v>
      </c>
      <c r="G50" s="11">
        <f>SUM(G46:G49)</f>
        <v>2621.6</v>
      </c>
      <c r="H50" s="12">
        <f>IFERROR(G50/F50,"")</f>
        <v>0.29292929292929293</v>
      </c>
    </row>
    <row r="51" spans="1:11">
      <c r="B51" s="5" t="s">
        <v>20</v>
      </c>
      <c r="E51" s="16">
        <f>IFERROR((E50-('V39'!E50))/('V39'!E50),"")</f>
        <v>0.36144578313253012</v>
      </c>
      <c r="F51" s="16">
        <f>IFERROR((F50-('V39'!F50))/('V39'!F50),"")</f>
        <v>0.36144578313253012</v>
      </c>
      <c r="G51" s="16">
        <f>IFERROR((G50-('V39'!G50))/('V39'!G50),"")</f>
        <v>0.36144578313253012</v>
      </c>
      <c r="H51" s="16">
        <f>IFERROR(H50-('V39'!H50),"")</f>
        <v>5.5511151231257827E-17</v>
      </c>
    </row>
    <row r="52" spans="1:11">
      <c r="B52" s="5" t="s">
        <v>21</v>
      </c>
      <c r="E52" s="13">
        <f>E50/$B$112</f>
        <v>6.0739625886906045E-3</v>
      </c>
      <c r="F52" s="13">
        <f>F50/$B$112</f>
        <v>0.48105783702429589</v>
      </c>
      <c r="G52" s="13">
        <f>G50/$B$112</f>
        <v>0.14091593205762201</v>
      </c>
    </row>
    <row r="53" spans="1:11">
      <c r="B53" s="5" t="s">
        <v>22</v>
      </c>
      <c r="E53" s="8">
        <f>IFERROR((E52-'V39'!E52)/'V39'!E52,"")</f>
        <v>0.22935539189654783</v>
      </c>
      <c r="F53" s="8">
        <f>IFERROR((F52-'V39'!F52)/'V39'!F52,"")</f>
        <v>0.22935539189654769</v>
      </c>
      <c r="G53" s="8">
        <f>IFERROR((G52-'V39'!G52)/'V39'!G52,"")</f>
        <v>0.22935539189654769</v>
      </c>
    </row>
    <row r="54" spans="1:11">
      <c r="B54" s="5" t="s">
        <v>23</v>
      </c>
      <c r="E54" s="18">
        <f>(E52 / AVERAGE('V25'!E52,'V26'!E52,'V27'!E52,'V28'!E52,'V29'!E52,'V30'!E52,'V31'!E52,'V32'!E52,'V33'!E52,'V34'!E52,'V35'!E52,'V36'!E52,'V37'!E52,'V38'!E52,'V39'!E52)) * 100</f>
        <v>61.362112116790883</v>
      </c>
      <c r="F54" s="18">
        <f>(F52 / AVERAGE('V25'!F52,'V26'!F52,'V27'!F52,'V28'!F52,'V29'!F52,'V30'!F52,'V31'!F52,'V32'!F52,'V33'!F52,'V34'!F52,'V35'!F52,'V36'!F52,'V37'!F52,'V38'!F52,'V39'!F52)) * 100</f>
        <v>62.844922055410194</v>
      </c>
      <c r="G54" s="18">
        <f>(G52 / AVERAGE('V25'!G52,'V26'!G52,'V27'!G52,'V28'!G52,'V29'!G52,'V30'!G52,'V31'!G52,'V32'!G52,'V33'!G52,'V34'!G52,'V35'!G52,'V36'!G52,'V37'!G52,'V38'!G52,'V39'!G52)) * 100</f>
        <v>183.34274212883875</v>
      </c>
      <c r="H54" s="14">
        <f>IFERROR((G54*0.6)+(F54*0.4),"")</f>
        <v>135.14361409946733</v>
      </c>
    </row>
    <row r="55" spans="1:11">
      <c r="A55" s="1">
        <v>6</v>
      </c>
      <c r="C55" s="2" t="s">
        <v>52</v>
      </c>
      <c r="D55" s="2" t="s">
        <v>5</v>
      </c>
      <c r="E55" s="2" t="s">
        <v>6</v>
      </c>
      <c r="F55" s="2" t="s">
        <v>7</v>
      </c>
      <c r="G55" s="2" t="s">
        <v>8</v>
      </c>
      <c r="H55" s="2" t="s">
        <v>9</v>
      </c>
      <c r="I55" s="2" t="s">
        <v>10</v>
      </c>
      <c r="J55" s="2" t="s">
        <v>11</v>
      </c>
      <c r="K55" s="2" t="s">
        <v>12</v>
      </c>
    </row>
    <row r="56" spans="1:11">
      <c r="B56" s="6" t="s">
        <v>53</v>
      </c>
      <c r="C56" s="2" t="s">
        <v>54</v>
      </c>
      <c r="D56" s="5" t="s">
        <v>55</v>
      </c>
      <c r="E56" s="7">
        <v>162</v>
      </c>
      <c r="F56" s="7">
        <v>6487.12</v>
      </c>
      <c r="G56" s="7">
        <v>1303.1199999999999</v>
      </c>
      <c r="H56" s="8">
        <f>IFERROR(G56/F56,"")</f>
        <v>0.20087804757735325</v>
      </c>
      <c r="I56" s="18">
        <f>IFERROR(((E56/$B$112) / AVERAGE('V26'!E56/'V26'!$B$112, 'V27'!E56/'V27'!$B$112, 'V28'!E56/'V28'!$B$112, 'V29'!E56/'V29'!$B$112, 'V30'!E56/'V30'!$B$112, 'V31'!E56/'V31'!$B$112, 'V32'!E56/'V32'!$B$112, 'V33'!E56/'V33'!$B$112, 'V34'!E56/'V34'!$B$112, 'V35'!E56/'V35'!$B$112, 'V36'!E56/'V36'!$B$112, 'V37'!E56/'V37'!$B$112, 'V38'!E56/'V38'!$B$112, 'V39'!E56/'V39'!$B$112)) * 100,"")</f>
        <v>85.156966137500973</v>
      </c>
      <c r="J56" s="18">
        <f>IFERROR(((F56/$B$112) / AVERAGE('V26'!F56/'V26'!$B$112, 'V27'!F56/'V27'!$B$112, 'V28'!F56/'V28'!$B$112, 'V29'!F56/'V29'!$B$112, 'V30'!F56/'V30'!$B$112, 'V31'!F56/'V31'!$B$112, 'V32'!F56/'V32'!$B$112, 'V33'!F56/'V33'!$B$112, 'V34'!F56/'V34'!$B$112, 'V35'!F56/'V35'!$B$112, 'V36'!F56/'V36'!$B$112, 'V37'!F56/'V37'!$B$112, 'V38'!F56/'V38'!$B$112, 'V39'!F56/'V39'!$B$112)) * 100,"")</f>
        <v>83.847629830941173</v>
      </c>
      <c r="K56" s="18">
        <f>IFERROR(((G56/$B$112) / AVERAGE('V26'!G56/'V26'!$B$112, 'V27'!G56/'V27'!$B$112, 'V28'!G56/'V28'!$B$112, 'V29'!G56/'V29'!$B$112, 'V30'!G56/'V30'!$B$112, 'V31'!G56/'V31'!$B$112, 'V32'!G56/'V32'!$B$112, 'V33'!G56/'V33'!$B$112, 'V34'!G56/'V34'!$B$112, 'V35'!G56/'V35'!$B$112, 'V36'!G56/'V36'!$B$112, 'V37'!G56/'V37'!$B$112, 'V38'!G56/'V38'!$B$112, 'V39'!G56/'V39'!$B$112)) * 100,"")</f>
        <v>79.457166974971543</v>
      </c>
    </row>
    <row r="57" spans="1:11">
      <c r="C57" s="2" t="s">
        <v>56</v>
      </c>
    </row>
    <row r="58" spans="1:11">
      <c r="C58" s="2" t="s">
        <v>57</v>
      </c>
    </row>
    <row r="59" spans="1:11">
      <c r="C59" s="2" t="s">
        <v>58</v>
      </c>
    </row>
    <row r="60" spans="1:11">
      <c r="C60" s="9" t="s">
        <v>19</v>
      </c>
      <c r="D60" s="10"/>
      <c r="E60" s="11">
        <f>SUM(E56:E59)</f>
        <v>162</v>
      </c>
      <c r="F60" s="11">
        <f>SUM(F56:F59)</f>
        <v>6487.12</v>
      </c>
      <c r="G60" s="11">
        <f>SUM(G56:G59)</f>
        <v>1303.1199999999999</v>
      </c>
      <c r="H60" s="12">
        <f>IFERROR(G60/F60,"")</f>
        <v>0.20087804757735325</v>
      </c>
    </row>
    <row r="61" spans="1:11">
      <c r="B61" s="5" t="s">
        <v>20</v>
      </c>
      <c r="E61" s="16">
        <f>IFERROR((E60-('V39'!E60))/('V39'!E60),"")</f>
        <v>0.125</v>
      </c>
      <c r="F61" s="16">
        <f>IFERROR((F60-('V39'!F60))/('V39'!F60),"")</f>
        <v>0.12599370968749785</v>
      </c>
      <c r="G61" s="16">
        <f>IFERROR((G60-('V39'!G60))/('V39'!G60),"")</f>
        <v>0.12996427456557166</v>
      </c>
      <c r="H61" s="16">
        <f>IFERROR(H60-('V39'!H60),"")</f>
        <v>7.0586242276846067E-4</v>
      </c>
    </row>
    <row r="62" spans="1:11">
      <c r="B62" s="5" t="s">
        <v>21</v>
      </c>
      <c r="E62" s="13">
        <f>E60/$B$112</f>
        <v>8.7078047731670612E-3</v>
      </c>
      <c r="F62" s="13">
        <f>F60/$B$112</f>
        <v>0.34869490432165123</v>
      </c>
      <c r="G62" s="13">
        <f>G60/$B$112</f>
        <v>7.0045151580305304E-2</v>
      </c>
    </row>
    <row r="63" spans="1:11">
      <c r="B63" s="5" t="s">
        <v>22</v>
      </c>
      <c r="E63" s="8">
        <f>IFERROR((E62-'V39'!E62)/'V39'!E62,"")</f>
        <v>1.5850086003010185E-2</v>
      </c>
      <c r="F63" s="8">
        <f>IFERROR((F62-'V39'!F62)/'V39'!F62,"")</f>
        <v>1.6747383844349331E-2</v>
      </c>
      <c r="G63" s="8">
        <f>IFERROR((G62-'V39'!G62)/'V39'!G62,"")</f>
        <v>2.033271599801334E-2</v>
      </c>
    </row>
    <row r="64" spans="1:11">
      <c r="B64" s="5" t="s">
        <v>23</v>
      </c>
      <c r="E64" s="18">
        <f>(E62 / AVERAGE('V25'!E62,'V26'!E62,'V27'!E62,'V28'!E62,'V29'!E62,'V30'!E62,'V31'!E62,'V32'!E62,'V33'!E62,'V34'!E62,'V35'!E62,'V36'!E62,'V37'!E62,'V38'!E62,'V39'!E62)) * 100</f>
        <v>84.931001837708166</v>
      </c>
      <c r="F64" s="18">
        <f>(F62 / AVERAGE('V25'!F62,'V26'!F62,'V27'!F62,'V28'!F62,'V29'!F62,'V30'!F62,'V31'!F62,'V32'!F62,'V33'!F62,'V34'!F62,'V35'!F62,'V36'!F62,'V37'!F62,'V38'!F62,'V39'!F62)) * 100</f>
        <v>83.612241461746322</v>
      </c>
      <c r="G64" s="18">
        <f>(G62 / AVERAGE('V25'!G62,'V26'!G62,'V27'!G62,'V28'!G62,'V29'!G62,'V30'!G62,'V31'!G62,'V32'!G62,'V33'!G62,'V34'!G62,'V35'!G62,'V36'!G62,'V37'!G62,'V38'!G62,'V39'!G62)) * 100</f>
        <v>79.158064982518326</v>
      </c>
      <c r="H64" s="14">
        <f>IFERROR((G64*0.6)+(F64*0.4),"")</f>
        <v>80.939735574209521</v>
      </c>
    </row>
    <row r="65" spans="1:11">
      <c r="A65" s="1">
        <v>7</v>
      </c>
      <c r="C65" s="2" t="s">
        <v>59</v>
      </c>
      <c r="D65" s="2" t="s">
        <v>5</v>
      </c>
      <c r="E65" s="2" t="s">
        <v>6</v>
      </c>
      <c r="F65" s="2" t="s">
        <v>7</v>
      </c>
      <c r="G65" s="2" t="s">
        <v>8</v>
      </c>
      <c r="H65" s="2" t="s">
        <v>9</v>
      </c>
      <c r="I65" s="2" t="s">
        <v>10</v>
      </c>
      <c r="J65" s="2" t="s">
        <v>11</v>
      </c>
      <c r="K65" s="2" t="s">
        <v>12</v>
      </c>
    </row>
    <row r="66" spans="1:11">
      <c r="B66" s="6" t="s">
        <v>140</v>
      </c>
      <c r="C66" s="2" t="s">
        <v>61</v>
      </c>
      <c r="D66" s="5" t="s">
        <v>141</v>
      </c>
      <c r="E66" s="7">
        <v>182</v>
      </c>
      <c r="F66" s="7">
        <v>7134.4</v>
      </c>
      <c r="G66" s="7">
        <v>2584.4</v>
      </c>
      <c r="H66" s="8">
        <f>IFERROR(G66/F66,"")</f>
        <v>0.36224489795918369</v>
      </c>
      <c r="I66" s="18">
        <f>IFERROR(((E66/$B$112) / AVERAGE('V26'!E66/'V26'!$B$112, 'V27'!E66/'V27'!$B$112, 'V28'!E66/'V28'!$B$112, 'V29'!E66/'V29'!$B$112, 'V30'!E66/'V30'!$B$112, 'V31'!E66/'V31'!$B$112, 'V32'!E66/'V32'!$B$112, 'V33'!E66/'V33'!$B$112, 'V34'!E66/'V34'!$B$112, 'V35'!E66/'V35'!$B$112, 'V36'!E66/'V36'!$B$112, 'V37'!E66/'V37'!$B$112, 'V38'!E66/'V38'!$B$112, 'V39'!E66/'V39'!$B$112)) * 100,"")</f>
        <v>123.79758969755272</v>
      </c>
      <c r="J66" s="18">
        <f>IFERROR(((F66/$B$112) / AVERAGE('V26'!F66/'V26'!$B$112, 'V27'!F66/'V27'!$B$112, 'V28'!F66/'V28'!$B$112, 'V29'!F66/'V29'!$B$112, 'V30'!F66/'V30'!$B$112, 'V31'!F66/'V31'!$B$112, 'V32'!F66/'V32'!$B$112, 'V33'!F66/'V33'!$B$112, 'V34'!F66/'V34'!$B$112, 'V35'!F66/'V35'!$B$112, 'V36'!F66/'V36'!$B$112, 'V37'!F66/'V37'!$B$112, 'V38'!F66/'V38'!$B$112, 'V39'!F66/'V39'!$B$112)) * 100,"")</f>
        <v>224.29700154712239</v>
      </c>
      <c r="K66" s="18">
        <f>IFERROR(((G66/$B$112) / AVERAGE('V26'!G66/'V26'!$B$112, 'V27'!G66/'V27'!$B$112, 'V28'!G66/'V28'!$B$112, 'V29'!G66/'V29'!$B$112, 'V30'!G66/'V30'!$B$112, 'V31'!G66/'V31'!$B$112, 'V32'!G66/'V32'!$B$112, 'V33'!G66/'V33'!$B$112, 'V34'!G66/'V34'!$B$112, 'V35'!G66/'V35'!$B$112, 'V36'!G66/'V36'!$B$112, 'V37'!G66/'V37'!$B$112, 'V38'!G66/'V38'!$B$112, 'V39'!G66/'V39'!$B$112)) * 100,"")</f>
        <v>334.68326188298857</v>
      </c>
    </row>
    <row r="67" spans="1:11">
      <c r="C67" s="2" t="s">
        <v>63</v>
      </c>
    </row>
    <row r="68" spans="1:11">
      <c r="C68" s="2" t="s">
        <v>64</v>
      </c>
    </row>
    <row r="69" spans="1:11">
      <c r="C69" s="2" t="s">
        <v>65</v>
      </c>
    </row>
    <row r="70" spans="1:11">
      <c r="C70" s="9" t="s">
        <v>19</v>
      </c>
      <c r="D70" s="10"/>
      <c r="E70" s="11">
        <f>SUM(E66:E69)</f>
        <v>182</v>
      </c>
      <c r="F70" s="11">
        <f>SUM(F66:F69)</f>
        <v>7134.4</v>
      </c>
      <c r="G70" s="11">
        <f>SUM(G66:G69)</f>
        <v>2584.4</v>
      </c>
      <c r="H70" s="12">
        <f>IFERROR(G70/F70,"")</f>
        <v>0.36224489795918369</v>
      </c>
    </row>
    <row r="71" spans="1:11">
      <c r="B71" s="5" t="s">
        <v>20</v>
      </c>
      <c r="E71" s="16">
        <f>IFERROR((E70-('V39'!E70))/('V39'!E70),"")</f>
        <v>-3.7037037037037035E-2</v>
      </c>
      <c r="F71" s="16">
        <f>IFERROR((F70-('V39'!F70))/('V39'!F70),"")</f>
        <v>0.28205865439907984</v>
      </c>
      <c r="G71" s="16">
        <f>IFERROR((G70-('V39'!G70))/('V39'!G70),"")</f>
        <v>0.48120128381476396</v>
      </c>
      <c r="H71" s="16">
        <f>IFERROR(H70-('V39'!H70),"")</f>
        <v>4.8702632289258474E-2</v>
      </c>
    </row>
    <row r="72" spans="1:11">
      <c r="B72" s="5" t="s">
        <v>21</v>
      </c>
      <c r="E72" s="13">
        <f>E70/$B$112</f>
        <v>9.7828423994839823E-3</v>
      </c>
      <c r="F72" s="13">
        <f>F70/$B$112</f>
        <v>0.3834874220597721</v>
      </c>
      <c r="G72" s="13">
        <f>G70/$B$112</f>
        <v>0.13891636207267255</v>
      </c>
    </row>
    <row r="73" spans="1:11">
      <c r="B73" s="5" t="s">
        <v>22</v>
      </c>
      <c r="E73" s="8">
        <f>IFERROR((E72-'V39'!E72)/'V39'!E72,"")</f>
        <v>-0.13046577000565382</v>
      </c>
      <c r="F73" s="8">
        <f>IFERROR((F72-'V39'!F72)/'V39'!F72,"")</f>
        <v>0.15767057273974108</v>
      </c>
      <c r="G73" s="8">
        <f>IFERROR((G72-'V39'!G72)/'V39'!G72,"")</f>
        <v>0.33749195693421957</v>
      </c>
    </row>
    <row r="74" spans="1:11">
      <c r="B74" s="5" t="s">
        <v>23</v>
      </c>
      <c r="E74" s="18">
        <f>(E72 / AVERAGE('V25'!E72,'V26'!E72,'V27'!E72,'V28'!E72,'V29'!E72,'V30'!E72,'V31'!E72,'V32'!E72,'V33'!E72,'V34'!E72,'V35'!E72,'V36'!E72,'V37'!E72,'V38'!E72,'V39'!E72)) * 100</f>
        <v>131.16089771441176</v>
      </c>
      <c r="F74" s="18">
        <f>(F72 / AVERAGE('V25'!F72,'V26'!F72,'V27'!F72,'V28'!F72,'V29'!F72,'V30'!F72,'V31'!F72,'V32'!F72,'V33'!F72,'V34'!F72,'V35'!F72,'V36'!F72,'V37'!F72,'V38'!F72,'V39'!F72)) * 100</f>
        <v>237.74522161792254</v>
      </c>
      <c r="G74" s="18">
        <f>(G72 / AVERAGE('V25'!G72,'V26'!G72,'V27'!G72,'V28'!G72,'V29'!G72,'V30'!G72,'V31'!G72,'V32'!G72,'V33'!G72,'V34'!G72,'V35'!G72,'V36'!G72,'V37'!G72,'V38'!G72,'V39'!G72)) * 100</f>
        <v>354.9232513899334</v>
      </c>
      <c r="H74" s="14">
        <f>IFERROR((G74*0.6)+(F74*0.4),"")</f>
        <v>308.05203948112904</v>
      </c>
    </row>
    <row r="75" spans="1:11">
      <c r="A75" s="1">
        <v>8</v>
      </c>
      <c r="C75" s="2" t="s">
        <v>66</v>
      </c>
      <c r="D75" s="2" t="s">
        <v>5</v>
      </c>
      <c r="E75" s="2" t="s">
        <v>6</v>
      </c>
      <c r="F75" s="2" t="s">
        <v>7</v>
      </c>
      <c r="G75" s="2" t="s">
        <v>8</v>
      </c>
      <c r="H75" s="2" t="s">
        <v>9</v>
      </c>
      <c r="I75" s="2" t="s">
        <v>10</v>
      </c>
      <c r="J75" s="2" t="s">
        <v>11</v>
      </c>
      <c r="K75" s="2" t="s">
        <v>12</v>
      </c>
    </row>
    <row r="76" spans="1:11">
      <c r="B76" s="6" t="s">
        <v>126</v>
      </c>
      <c r="C76" s="2" t="s">
        <v>68</v>
      </c>
      <c r="D76" s="5" t="s">
        <v>127</v>
      </c>
      <c r="E76" s="7">
        <v>91</v>
      </c>
      <c r="F76" s="7">
        <v>2906.76</v>
      </c>
      <c r="G76" s="7">
        <v>586.26</v>
      </c>
      <c r="H76" s="8">
        <f>IFERROR(G76/F76,"")</f>
        <v>0.20168847789291167</v>
      </c>
      <c r="I76" s="18">
        <f>IFERROR(((E76/$B$112) / AVERAGE('V26'!E76/'V26'!$B$112, 'V27'!E76/'V27'!$B$112, 'V28'!E76/'V28'!$B$112, 'V29'!E76/'V29'!$B$112, 'V30'!E76/'V30'!$B$112, 'V31'!E76/'V31'!$B$112, 'V32'!E76/'V32'!$B$112, 'V33'!E76/'V33'!$B$112, 'V34'!E76/'V34'!$B$112, 'V35'!E76/'V35'!$B$112, 'V36'!E76/'V36'!$B$112, 'V37'!E76/'V37'!$B$112, 'V38'!E76/'V38'!$B$112, 'V39'!E76/'V39'!$B$112)) * 100,"")</f>
        <v>105.13587166568364</v>
      </c>
      <c r="J76" s="18">
        <f>IFERROR(((F76/$B$112) / AVERAGE('V26'!F76/'V26'!$B$112, 'V27'!F76/'V27'!$B$112, 'V28'!F76/'V28'!$B$112, 'V29'!F76/'V29'!$B$112, 'V30'!F76/'V30'!$B$112, 'V31'!F76/'V31'!$B$112, 'V32'!F76/'V32'!$B$112, 'V33'!F76/'V33'!$B$112, 'V34'!F76/'V34'!$B$112, 'V35'!F76/'V35'!$B$112, 'V36'!F76/'V36'!$B$112, 'V37'!F76/'V37'!$B$112, 'V38'!F76/'V38'!$B$112, 'V39'!F76/'V39'!$B$112)) * 100,"")</f>
        <v>135.4305003619443</v>
      </c>
      <c r="K76" s="18">
        <f>IFERROR(((G76/$B$112) / AVERAGE('V26'!G76/'V26'!$B$112, 'V27'!G76/'V27'!$B$112, 'V28'!G76/'V28'!$B$112, 'V29'!G76/'V29'!$B$112, 'V30'!G76/'V30'!$B$112, 'V31'!G76/'V31'!$B$112, 'V32'!G76/'V32'!$B$112, 'V33'!G76/'V33'!$B$112, 'V34'!G76/'V34'!$B$112, 'V35'!G76/'V35'!$B$112, 'V36'!G76/'V36'!$B$112, 'V37'!G76/'V37'!$B$112, 'V38'!G76/'V38'!$B$112, 'V39'!G76/'V39'!$B$112)) * 100,"")</f>
        <v>126.64431960990274</v>
      </c>
    </row>
    <row r="77" spans="1:11">
      <c r="C77" s="2" t="s">
        <v>70</v>
      </c>
    </row>
    <row r="78" spans="1:11">
      <c r="C78" s="2" t="s">
        <v>71</v>
      </c>
    </row>
    <row r="79" spans="1:11">
      <c r="C79" s="2" t="s">
        <v>72</v>
      </c>
    </row>
    <row r="80" spans="1:11">
      <c r="C80" s="9" t="s">
        <v>19</v>
      </c>
      <c r="D80" s="10"/>
      <c r="E80" s="11">
        <f>SUM(E76:E79)</f>
        <v>91</v>
      </c>
      <c r="F80" s="11">
        <f>SUM(F76:F79)</f>
        <v>2906.76</v>
      </c>
      <c r="G80" s="11">
        <f>SUM(G76:G79)</f>
        <v>586.26</v>
      </c>
      <c r="H80" s="12">
        <f>IFERROR(G80/F80,"")</f>
        <v>0.20168847789291167</v>
      </c>
    </row>
    <row r="81" spans="1:11">
      <c r="B81" s="5" t="s">
        <v>20</v>
      </c>
      <c r="E81" s="16">
        <f>IFERROR((E80-('V39'!E80))/('V39'!E80),"")</f>
        <v>0.44444444444444442</v>
      </c>
      <c r="F81" s="16">
        <f>IFERROR((F80-('V39'!F80))/('V39'!F80),"")</f>
        <v>0.44709958778899583</v>
      </c>
      <c r="G81" s="16">
        <f>IFERROR((G80-('V39'!G80))/('V39'!G80),"")</f>
        <v>0.80011053795136322</v>
      </c>
      <c r="H81" s="16">
        <f>IFERROR(H80-('V39'!H80),"")</f>
        <v>3.9552149557885691E-2</v>
      </c>
    </row>
    <row r="82" spans="1:11">
      <c r="B82" s="5" t="s">
        <v>21</v>
      </c>
      <c r="E82" s="13">
        <f>E80/$B$112</f>
        <v>4.8914211997419911E-3</v>
      </c>
      <c r="F82" s="13">
        <f>F80/$B$112</f>
        <v>0.15624381853364869</v>
      </c>
      <c r="G82" s="13">
        <f>G80/$B$112</f>
        <v>3.1512577940227909E-2</v>
      </c>
    </row>
    <row r="83" spans="1:11">
      <c r="B83" s="5" t="s">
        <v>22</v>
      </c>
      <c r="E83" s="8">
        <f>IFERROR((E82-'V39'!E82)/'V39'!E82,"")</f>
        <v>0.30430134499151923</v>
      </c>
      <c r="F83" s="8">
        <f>IFERROR((F82-'V39'!F82)/'V39'!F82,"")</f>
        <v>0.30669888063144163</v>
      </c>
      <c r="G83" s="8">
        <f>IFERROR((G82-'V39'!G82)/'V39'!G82,"")</f>
        <v>0.6254599509269485</v>
      </c>
    </row>
    <row r="84" spans="1:11">
      <c r="B84" s="5" t="s">
        <v>23</v>
      </c>
      <c r="E84" s="18">
        <f>(E82 / AVERAGE('V25'!E82,'V26'!E82,'V27'!E82,'V28'!E82,'V29'!E82,'V30'!E82,'V31'!E82,'V32'!E82,'V33'!E82,'V34'!E82,'V35'!E82,'V36'!E82,'V37'!E82,'V38'!E82,'V39'!E82)) * 100</f>
        <v>107.62540932828672</v>
      </c>
      <c r="F84" s="18">
        <f>(F82 / AVERAGE('V25'!F82,'V26'!F82,'V27'!F82,'V28'!F82,'V29'!F82,'V30'!F82,'V31'!F82,'V32'!F82,'V33'!F82,'V34'!F82,'V35'!F82,'V36'!F82,'V37'!F82,'V38'!F82,'V39'!F82)) * 100</f>
        <v>136.89618988275399</v>
      </c>
      <c r="G84" s="18">
        <f>(G82 / AVERAGE('V25'!G82,'V26'!G82,'V27'!G82,'V28'!G82,'V29'!G82,'V30'!G82,'V31'!G82,'V32'!G82,'V33'!G82,'V34'!G82,'V35'!G82,'V36'!G82,'V37'!G82,'V38'!G82,'V39'!G82)) * 100</f>
        <v>128.0153336250545</v>
      </c>
      <c r="H84" s="14">
        <f>IFERROR((G84*0.6)+(F84*0.4),"")</f>
        <v>131.56767612813428</v>
      </c>
    </row>
    <row r="85" spans="1:11">
      <c r="A85" s="1">
        <v>9</v>
      </c>
      <c r="C85" s="2" t="s">
        <v>73</v>
      </c>
      <c r="D85" s="2" t="s">
        <v>5</v>
      </c>
      <c r="E85" s="2" t="s">
        <v>6</v>
      </c>
      <c r="F85" s="2" t="s">
        <v>7</v>
      </c>
      <c r="G85" s="2" t="s">
        <v>8</v>
      </c>
      <c r="H85" s="2" t="s">
        <v>9</v>
      </c>
      <c r="I85" s="2" t="s">
        <v>10</v>
      </c>
      <c r="J85" s="2" t="s">
        <v>11</v>
      </c>
      <c r="K85" s="2" t="s">
        <v>12</v>
      </c>
    </row>
    <row r="86" spans="1:11">
      <c r="B86" s="6" t="s">
        <v>74</v>
      </c>
      <c r="C86" s="2" t="s">
        <v>75</v>
      </c>
      <c r="D86" s="5" t="s">
        <v>76</v>
      </c>
      <c r="E86" s="7">
        <v>253</v>
      </c>
      <c r="F86" s="7">
        <v>9108</v>
      </c>
      <c r="G86" s="7">
        <v>1523.06</v>
      </c>
      <c r="H86" s="8">
        <f>IFERROR(G86/F86,"")</f>
        <v>0.16722222222222222</v>
      </c>
      <c r="I86" s="18">
        <f>IFERROR(((E86/$B$112) / AVERAGE('V26'!E86/'V26'!$B$112, 'V27'!E86/'V27'!$B$112, 'V28'!E86/'V28'!$B$112, 'V29'!E86/'V29'!$B$112, 'V30'!E86/'V30'!$B$112, 'V31'!E86/'V31'!$B$112, 'V32'!E86/'V32'!$B$112, 'V33'!E86/'V33'!$B$112, 'V34'!E86/'V34'!$B$112, 'V35'!E86/'V35'!$B$112, 'V36'!E86/'V36'!$B$112, 'V37'!E86/'V37'!$B$112, 'V38'!E86/'V38'!$B$112, 'V39'!E86/'V39'!$B$112)) * 100,"")</f>
        <v>106.40667056457636</v>
      </c>
      <c r="J86" s="18">
        <f>IFERROR(((F86/$B$112) / AVERAGE('V26'!F86/'V26'!$B$112, 'V27'!F86/'V27'!$B$112, 'V28'!F86/'V28'!$B$112, 'V29'!F86/'V29'!$B$112, 'V30'!F86/'V30'!$B$112, 'V31'!F86/'V31'!$B$112, 'V32'!F86/'V32'!$B$112, 'V33'!F86/'V33'!$B$112, 'V34'!F86/'V34'!$B$112, 'V35'!F86/'V35'!$B$112, 'V36'!F86/'V36'!$B$112, 'V37'!F86/'V37'!$B$112, 'V38'!F86/'V38'!$B$112, 'V39'!F86/'V39'!$B$112)) * 100,"")</f>
        <v>106.41819339437779</v>
      </c>
      <c r="K86" s="18">
        <f>IFERROR(((G86/$B$112) / AVERAGE('V26'!G86/'V26'!$B$112, 'V27'!G86/'V27'!$B$112, 'V28'!G86/'V28'!$B$112, 'V29'!G86/'V29'!$B$112, 'V30'!G86/'V30'!$B$112, 'V31'!G86/'V31'!$B$112, 'V32'!G86/'V32'!$B$112, 'V33'!G86/'V33'!$B$112, 'V34'!G86/'V34'!$B$112, 'V35'!G86/'V35'!$B$112, 'V36'!G86/'V36'!$B$112, 'V37'!G86/'V37'!$B$112, 'V38'!G86/'V38'!$B$112, 'V39'!G86/'V39'!$B$112)) * 100,"")</f>
        <v>106.4756150337506</v>
      </c>
    </row>
    <row r="87" spans="1:11">
      <c r="C87" s="2" t="s">
        <v>77</v>
      </c>
    </row>
    <row r="88" spans="1:11">
      <c r="C88" s="2" t="s">
        <v>78</v>
      </c>
    </row>
    <row r="89" spans="1:11">
      <c r="C89" s="2" t="s">
        <v>79</v>
      </c>
    </row>
    <row r="90" spans="1:11">
      <c r="C90" s="9" t="s">
        <v>19</v>
      </c>
      <c r="D90" s="10"/>
      <c r="E90" s="11">
        <f>SUM(E86:E89)</f>
        <v>253</v>
      </c>
      <c r="F90" s="11">
        <f>SUM(F86:F89)</f>
        <v>9108</v>
      </c>
      <c r="G90" s="11">
        <f>SUM(G86:G89)</f>
        <v>1523.06</v>
      </c>
      <c r="H90" s="12">
        <f>IFERROR(G90/F90,"")</f>
        <v>0.16722222222222222</v>
      </c>
    </row>
    <row r="91" spans="1:11">
      <c r="B91" s="5" t="s">
        <v>20</v>
      </c>
      <c r="E91" s="16">
        <f>IFERROR((E90-('V39'!E90))/('V39'!E90),"")</f>
        <v>-3.8022813688212927E-2</v>
      </c>
      <c r="F91" s="16">
        <f>IFERROR((F90-('V39'!F90))/('V39'!F90),"")</f>
        <v>-3.7839893515877618E-2</v>
      </c>
      <c r="G91" s="16">
        <f>IFERROR((G90-('V39'!G90))/('V39'!G90),"")</f>
        <v>-3.6927902065180332E-2</v>
      </c>
      <c r="H91" s="16">
        <f>IFERROR(H90-('V39'!H90),"")</f>
        <v>1.5835287655024954E-4</v>
      </c>
    </row>
    <row r="92" spans="1:11">
      <c r="B92" s="5" t="s">
        <v>21</v>
      </c>
      <c r="E92" s="13">
        <f>E90/$B$112</f>
        <v>1.3599225972909051E-2</v>
      </c>
      <c r="F92" s="13">
        <f>F90/$B$112</f>
        <v>0.48957213502472585</v>
      </c>
      <c r="G92" s="13">
        <f>G90/$B$112</f>
        <v>8.1867340356912482E-2</v>
      </c>
    </row>
    <row r="93" spans="1:11">
      <c r="B93" s="5" t="s">
        <v>22</v>
      </c>
      <c r="E93" s="8">
        <f>IFERROR((E92-'V39'!E92)/'V39'!E92,"")</f>
        <v>-0.13135590449087783</v>
      </c>
      <c r="F93" s="8">
        <f>IFERROR((F92-'V39'!F92)/'V39'!F92,"")</f>
        <v>-0.13119073162616787</v>
      </c>
      <c r="G93" s="8">
        <f>IFERROR((G92-'V39'!G92)/'V39'!G92,"")</f>
        <v>-0.13036722354294586</v>
      </c>
    </row>
    <row r="94" spans="1:11">
      <c r="B94" s="5" t="s">
        <v>23</v>
      </c>
      <c r="E94" s="18">
        <f>(E92 / AVERAGE('V25'!E92,'V26'!E92,'V27'!E92,'V28'!E92,'V29'!E92,'V30'!E92,'V31'!E92,'V32'!E92,'V33'!E92,'V34'!E92,'V35'!E92,'V36'!E92,'V37'!E92,'V38'!E92,'V39'!E92)) * 100</f>
        <v>106.96879470892229</v>
      </c>
      <c r="F94" s="18">
        <f>(F92 / AVERAGE('V25'!F92,'V26'!F92,'V27'!F92,'V28'!F92,'V29'!F92,'V30'!F92,'V31'!F92,'V32'!F92,'V33'!F92,'V34'!F92,'V35'!F92,'V36'!F92,'V37'!F92,'V38'!F92,'V39'!F92)) * 100</f>
        <v>106.97966320658028</v>
      </c>
      <c r="G94" s="18">
        <f>(G92 / AVERAGE('V25'!G92,'V26'!G92,'V27'!G92,'V28'!G92,'V29'!G92,'V30'!G92,'V31'!G92,'V32'!G92,'V33'!G92,'V34'!G92,'V35'!G92,'V36'!G92,'V37'!G92,'V38'!G92,'V39'!G92)) * 100</f>
        <v>106.51252204174398</v>
      </c>
      <c r="H94" s="14">
        <f>IFERROR((G94*0.6)+(F94*0.4),"")</f>
        <v>106.6993785076785</v>
      </c>
    </row>
    <row r="95" spans="1:11">
      <c r="A95" s="1">
        <v>10</v>
      </c>
      <c r="C95" s="2" t="s">
        <v>80</v>
      </c>
      <c r="D95" s="2" t="s">
        <v>5</v>
      </c>
      <c r="E95" s="2" t="s">
        <v>6</v>
      </c>
      <c r="F95" s="2" t="s">
        <v>7</v>
      </c>
      <c r="G95" s="2" t="s">
        <v>8</v>
      </c>
      <c r="H95" s="2" t="s">
        <v>9</v>
      </c>
      <c r="I95" s="2" t="s">
        <v>10</v>
      </c>
      <c r="J95" s="2" t="s">
        <v>11</v>
      </c>
      <c r="K95" s="2" t="s">
        <v>12</v>
      </c>
    </row>
    <row r="96" spans="1:11">
      <c r="B96" s="6" t="s">
        <v>137</v>
      </c>
      <c r="C96" s="2" t="s">
        <v>82</v>
      </c>
      <c r="D96" s="5" t="s">
        <v>83</v>
      </c>
      <c r="E96" s="7">
        <v>248</v>
      </c>
      <c r="F96" s="7">
        <v>8928</v>
      </c>
      <c r="G96" s="7">
        <v>1258.96</v>
      </c>
      <c r="H96" s="8">
        <f>IFERROR(G96/F96,"")</f>
        <v>0.1410125448028674</v>
      </c>
      <c r="I96" s="18">
        <f>IFERROR(((E96/$B$112) / AVERAGE('V26'!E96/'V26'!$B$112, 'V27'!E96/'V27'!$B$112, 'V28'!E96/'V28'!$B$112, 'V29'!E96/'V29'!$B$112, 'V30'!E96/'V30'!$B$112, 'V31'!E96/'V31'!$B$112, 'V32'!E96/'V32'!$B$112, 'V33'!E96/'V33'!$B$112, 'V34'!E96/'V34'!$B$112, 'V35'!E96/'V35'!$B$112, 'V36'!E96/'V36'!$B$112, 'V37'!E96/'V37'!$B$112, 'V38'!E96/'V38'!$B$112, 'V39'!E96/'V39'!$B$112)) * 100,"")</f>
        <v>90.441698826477889</v>
      </c>
      <c r="J96" s="18">
        <f>IFERROR(((F96/$B$112) / AVERAGE('V26'!F96/'V26'!$B$112, 'V27'!F96/'V27'!$B$112, 'V28'!F96/'V28'!$B$112, 'V29'!F96/'V29'!$B$112, 'V30'!F96/'V30'!$B$112, 'V31'!F96/'V31'!$B$112, 'V32'!F96/'V32'!$B$112, 'V33'!F96/'V33'!$B$112, 'V34'!F96/'V34'!$B$112, 'V35'!F96/'V35'!$B$112, 'V36'!F96/'V36'!$B$112, 'V37'!F96/'V37'!$B$112, 'V38'!F96/'V38'!$B$112, 'V39'!F96/'V39'!$B$112)) * 100,"")</f>
        <v>90.470624096590427</v>
      </c>
      <c r="K96" s="18">
        <f>IFERROR(((G96/$B$112) / AVERAGE('V26'!G96/'V26'!$B$112, 'V27'!G96/'V27'!$B$112, 'V28'!G96/'V28'!$B$112, 'V29'!G96/'V29'!$B$112, 'V30'!G96/'V30'!$B$112, 'V31'!G96/'V31'!$B$112, 'V32'!G96/'V32'!$B$112, 'V33'!G96/'V33'!$B$112, 'V34'!G96/'V34'!$B$112, 'V35'!G96/'V35'!$B$112, 'V36'!G96/'V36'!$B$112, 'V37'!G96/'V37'!$B$112, 'V38'!G96/'V38'!$B$112, 'V39'!G96/'V39'!$B$112)) * 100,"")</f>
        <v>77.607252342647499</v>
      </c>
    </row>
    <row r="97" spans="2:8">
      <c r="C97" s="2" t="s">
        <v>84</v>
      </c>
    </row>
    <row r="98" spans="2:8">
      <c r="C98" s="2" t="s">
        <v>85</v>
      </c>
    </row>
    <row r="99" spans="2:8">
      <c r="C99" s="2" t="s">
        <v>86</v>
      </c>
    </row>
    <row r="100" spans="2:8">
      <c r="C100" s="9" t="s">
        <v>19</v>
      </c>
      <c r="D100" s="10"/>
      <c r="E100" s="11">
        <f>SUM(E96:E99)</f>
        <v>248</v>
      </c>
      <c r="F100" s="11">
        <f>SUM(F96:F99)</f>
        <v>8928</v>
      </c>
      <c r="G100" s="11">
        <f>SUM(G96:G99)</f>
        <v>1258.96</v>
      </c>
      <c r="H100" s="12">
        <f>IFERROR(G100/F100,"")</f>
        <v>0.1410125448028674</v>
      </c>
    </row>
    <row r="101" spans="2:8">
      <c r="B101" s="5" t="s">
        <v>20</v>
      </c>
      <c r="E101" s="16">
        <f>IFERROR((E100-('V39'!E100))/('V39'!E100),"")</f>
        <v>-0.14186851211072665</v>
      </c>
      <c r="F101" s="16">
        <f>IFERROR((F100-('V39'!F100))/('V39'!F100),"")</f>
        <v>-0.14127836796722087</v>
      </c>
      <c r="G101" s="16">
        <f>IFERROR((G100-('V39'!G100))/('V39'!G100),"")</f>
        <v>-0.15654917829602785</v>
      </c>
      <c r="H101" s="16">
        <f>IFERROR(H100-('V39'!H100),"")</f>
        <v>-2.5530543930429028E-3</v>
      </c>
    </row>
    <row r="102" spans="2:8">
      <c r="B102" s="5" t="s">
        <v>21</v>
      </c>
      <c r="E102" s="13">
        <f>E100/$B$112</f>
        <v>1.3330466566329821E-2</v>
      </c>
      <c r="F102" s="13">
        <f>F100/$B$112</f>
        <v>0.47989679638787358</v>
      </c>
      <c r="G102" s="13">
        <f>G100/$B$112</f>
        <v>6.7671468501397547E-2</v>
      </c>
    </row>
    <row r="103" spans="2:8">
      <c r="B103" s="5" t="s">
        <v>22</v>
      </c>
      <c r="E103" s="8">
        <f>IFERROR((E102-'V39'!E102)/'V39'!E102,"")</f>
        <v>-0.2251262704229251</v>
      </c>
      <c r="F103" s="8">
        <f>IFERROR((F102-'V39'!F102)/'V39'!F102,"")</f>
        <v>-0.22459338333053874</v>
      </c>
      <c r="G103" s="8">
        <f>IFERROR((G102-'V39'!G102)/'V39'!G102,"")</f>
        <v>-0.23838258687352037</v>
      </c>
    </row>
    <row r="104" spans="2:8">
      <c r="B104" s="5" t="s">
        <v>23</v>
      </c>
      <c r="E104" s="18">
        <f>(E102 / AVERAGE('V25'!E102,'V26'!E102,'V27'!E102,'V28'!E102,'V29'!E102,'V30'!E102,'V31'!E102,'V32'!E102,'V33'!E102,'V34'!E102,'V35'!E102,'V36'!E102,'V37'!E102,'V38'!E102,'V39'!E102)) * 100</f>
        <v>89.251883272820436</v>
      </c>
      <c r="F104" s="18">
        <f>(F102 / AVERAGE('V25'!F102,'V26'!F102,'V27'!F102,'V28'!F102,'V29'!F102,'V30'!F102,'V31'!F102,'V32'!F102,'V33'!F102,'V34'!F102,'V35'!F102,'V36'!F102,'V37'!F102,'V38'!F102,'V39'!F102)) * 100</f>
        <v>89.280336557298028</v>
      </c>
      <c r="G104" s="18">
        <f>(G102 / AVERAGE('V25'!G102,'V26'!G102,'V27'!G102,'V28'!G102,'V29'!G102,'V30'!G102,'V31'!G102,'V32'!G102,'V33'!G102,'V34'!G102,'V35'!G102,'V36'!G102,'V37'!G102,'V38'!G102,'V39'!G102)) * 100</f>
        <v>76.029789673519787</v>
      </c>
      <c r="H104" s="14">
        <f>IFERROR((G104*0.6)+(F104*0.4),"")</f>
        <v>81.330008427031089</v>
      </c>
    </row>
    <row r="106" spans="2:8">
      <c r="B106" s="2" t="s">
        <v>87</v>
      </c>
      <c r="E106" s="15">
        <f>E10+E20+E30+E40+E50+E60+E70+E80+E90+E100</f>
        <v>2505</v>
      </c>
      <c r="F106" s="15">
        <f>F10+F20+F30+F40+F50+F60+F70+F80+F90+F100</f>
        <v>83118.44</v>
      </c>
      <c r="G106" s="15">
        <f>G10+G20+G30+G40+G50+G60+G70+G80+G90+G100</f>
        <v>18789.72</v>
      </c>
      <c r="H106" s="16">
        <f>IFERROR(G106/F106,"")</f>
        <v>0.22605958437141024</v>
      </c>
    </row>
    <row r="107" spans="2:8">
      <c r="B107" s="5" t="s">
        <v>88</v>
      </c>
      <c r="E107" s="16">
        <f>IFERROR((E106-'V39'!E106)/'V39'!E106,"")</f>
        <v>-2.6806526806526808E-2</v>
      </c>
      <c r="F107" s="16">
        <f>IFERROR((F106-'V39'!F106)/'V39'!F106,"")</f>
        <v>7.6446409986440002E-3</v>
      </c>
      <c r="G107" s="16">
        <f>IFERROR((G106-'V39'!G106)/'V39'!G106,"")</f>
        <v>6.413385066451309E-2</v>
      </c>
      <c r="H107" s="16">
        <f>IFERROR(H106-'V39'!H106,"")</f>
        <v>1.200030170129579E-2</v>
      </c>
    </row>
    <row r="108" spans="2:8">
      <c r="B108" s="5" t="s">
        <v>21</v>
      </c>
      <c r="E108" s="13">
        <f>E106/$B$112</f>
        <v>0.13464846269619438</v>
      </c>
      <c r="F108" s="13">
        <f>F106/$B$112</f>
        <v>4.4677725220382714</v>
      </c>
      <c r="G108" s="13">
        <f>G106/$B$112</f>
        <v>1.0099827993979791</v>
      </c>
    </row>
    <row r="109" spans="2:8">
      <c r="B109" s="5" t="s">
        <v>22</v>
      </c>
      <c r="E109" s="8">
        <f>IFERROR((E108-'V39'!E108)/'V39'!E108,"")</f>
        <v>-0.12122784583008182</v>
      </c>
      <c r="F109" s="8">
        <f>IFERROR((F108-'V39'!F108)/'V39'!F108,"")</f>
        <v>-9.0119204249826876E-2</v>
      </c>
      <c r="G109" s="8">
        <f>IFERROR((G108-'V39'!G108)/'V39'!G108,"")</f>
        <v>-3.9110698918880013E-2</v>
      </c>
    </row>
    <row r="110" spans="2:8">
      <c r="B110" s="5" t="s">
        <v>23</v>
      </c>
      <c r="E110" s="18">
        <f>IFERROR((E108 / AVERAGE('V25'!E108,'V26'!E108,'V27'!E108,'V28'!E108,'V29'!E108,'V30'!E108,'V31'!E108,'V32'!E108,'V33'!E108,'V34'!E108,'V35'!E108,'V36'!E108,'V37'!E108,'V38'!E108,'V39'!E108)) * 100,"")</f>
        <v>96.451300666139574</v>
      </c>
      <c r="F110" s="18">
        <f>IFERROR((F108 / AVERAGE('V25'!F108,'V26'!F108,'V27'!F108,'V28'!F108,'V29'!F108,'V30'!F108,'V31'!F108,'V32'!F108,'V33'!F108,'V34'!F108,'V35'!F108,'V36'!F108,'V37'!F108,'V38'!F108,'V39'!F108)) * 100,"")</f>
        <v>95.753137294098849</v>
      </c>
      <c r="G110" s="18">
        <f>IFERROR((G108 / AVERAGE('V25'!G108,'V26'!G108,'V27'!G108,'V28'!G108,'V29'!G108,'V30'!G108,'V31'!G108,'V32'!G108,'V33'!G108,'V34'!G108,'V35'!G108,'V36'!G108,'V37'!G108,'V38'!G108,'V39'!G108)) * 100,"")</f>
        <v>115.45601165089414</v>
      </c>
      <c r="H110" s="14">
        <f>IFERROR((G110*0.6)+(F110*0.4),"")</f>
        <v>107.57486190817602</v>
      </c>
    </row>
    <row r="111" spans="2:8">
      <c r="B111" s="5" t="s">
        <v>89</v>
      </c>
      <c r="C111" s="5" t="s">
        <v>90</v>
      </c>
      <c r="D111" s="5" t="s">
        <v>91</v>
      </c>
    </row>
    <row r="112" spans="2:8">
      <c r="B112" s="17">
        <v>18604</v>
      </c>
      <c r="C112" s="17">
        <f>B112-'V39'!$B$112</f>
        <v>1805</v>
      </c>
      <c r="D112" s="19">
        <f>C112/'V39'!$B$112</f>
        <v>0.10744687183760938</v>
      </c>
    </row>
  </sheetData>
  <conditionalFormatting sqref="E11:G11">
    <cfRule type="cellIs" dxfId="65" priority="1" operator="lessThan">
      <formula>0</formula>
    </cfRule>
    <cfRule type="cellIs" dxfId="64" priority="2" operator="greaterThan">
      <formula>0</formula>
    </cfRule>
  </conditionalFormatting>
  <conditionalFormatting sqref="E21:G21">
    <cfRule type="cellIs" dxfId="63" priority="3" operator="lessThan">
      <formula>0</formula>
    </cfRule>
    <cfRule type="cellIs" dxfId="62" priority="4" operator="greaterThan">
      <formula>0</formula>
    </cfRule>
  </conditionalFormatting>
  <conditionalFormatting sqref="E31:G31">
    <cfRule type="cellIs" dxfId="61" priority="5" operator="lessThan">
      <formula>0</formula>
    </cfRule>
    <cfRule type="cellIs" dxfId="60" priority="6" operator="greaterThan">
      <formula>0</formula>
    </cfRule>
  </conditionalFormatting>
  <conditionalFormatting sqref="E41:G41">
    <cfRule type="cellIs" dxfId="59" priority="7" operator="lessThan">
      <formula>0</formula>
    </cfRule>
    <cfRule type="cellIs" dxfId="58" priority="8" operator="greaterThan">
      <formula>0</formula>
    </cfRule>
  </conditionalFormatting>
  <conditionalFormatting sqref="E51:G51">
    <cfRule type="cellIs" dxfId="57" priority="9" operator="lessThan">
      <formula>0</formula>
    </cfRule>
    <cfRule type="cellIs" dxfId="56" priority="10" operator="greaterThan">
      <formula>0</formula>
    </cfRule>
  </conditionalFormatting>
  <conditionalFormatting sqref="E61:G61">
    <cfRule type="cellIs" dxfId="55" priority="11" operator="lessThan">
      <formula>0</formula>
    </cfRule>
    <cfRule type="cellIs" dxfId="54" priority="12" operator="greaterThan">
      <formula>0</formula>
    </cfRule>
  </conditionalFormatting>
  <conditionalFormatting sqref="E71:G71">
    <cfRule type="cellIs" dxfId="53" priority="13" operator="lessThan">
      <formula>0</formula>
    </cfRule>
    <cfRule type="cellIs" dxfId="52" priority="14" operator="greaterThan">
      <formula>0</formula>
    </cfRule>
  </conditionalFormatting>
  <conditionalFormatting sqref="E81:G81">
    <cfRule type="cellIs" dxfId="51" priority="15" operator="lessThan">
      <formula>0</formula>
    </cfRule>
    <cfRule type="cellIs" dxfId="50" priority="16" operator="greaterThan">
      <formula>0</formula>
    </cfRule>
  </conditionalFormatting>
  <conditionalFormatting sqref="E91:G91">
    <cfRule type="cellIs" dxfId="49" priority="17" operator="lessThan">
      <formula>0</formula>
    </cfRule>
    <cfRule type="cellIs" dxfId="48" priority="18" operator="greaterThan">
      <formula>0</formula>
    </cfRule>
  </conditionalFormatting>
  <conditionalFormatting sqref="E101:G101">
    <cfRule type="cellIs" dxfId="47" priority="19" operator="lessThan">
      <formula>0</formula>
    </cfRule>
    <cfRule type="cellIs" dxfId="46" priority="20" operator="greaterThan">
      <formula>0</formula>
    </cfRule>
  </conditionalFormatting>
  <conditionalFormatting sqref="E107:G107">
    <cfRule type="cellIs" dxfId="45" priority="21" operator="lessThan">
      <formula>0</formula>
    </cfRule>
    <cfRule type="cellIs" dxfId="44" priority="22" operator="greaterThan">
      <formula>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12"/>
  <sheetViews>
    <sheetView zoomScaleNormal="100" zoomScaleSheetLayoutView="100" workbookViewId="0"/>
  </sheetViews>
  <sheetFormatPr defaultRowHeight="15"/>
  <cols>
    <col min="2" max="2" width="16" customWidth="1"/>
    <col min="4" max="4" width="26" customWidth="1"/>
    <col min="5" max="5" width="10" customWidth="1"/>
    <col min="6" max="7" width="12" customWidth="1"/>
    <col min="8" max="8" width="10" customWidth="1"/>
    <col min="9" max="11" width="12" customWidth="1"/>
  </cols>
  <sheetData>
    <row r="1" spans="1:11">
      <c r="A1" s="1" t="s">
        <v>0</v>
      </c>
    </row>
    <row r="3" spans="1:11">
      <c r="C3" s="2" t="s">
        <v>142</v>
      </c>
    </row>
    <row r="4" spans="1:11">
      <c r="C4" s="3" t="s">
        <v>143</v>
      </c>
      <c r="I4" s="4">
        <v>41</v>
      </c>
      <c r="J4" s="5" t="s">
        <v>3</v>
      </c>
    </row>
    <row r="5" spans="1:11">
      <c r="A5" s="1">
        <v>1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</row>
    <row r="6" spans="1:11">
      <c r="B6" s="6" t="s">
        <v>132</v>
      </c>
      <c r="C6" s="2" t="s">
        <v>14</v>
      </c>
      <c r="D6" s="5" t="s">
        <v>133</v>
      </c>
      <c r="E6" s="7">
        <v>126</v>
      </c>
      <c r="F6" s="7">
        <v>9975.24</v>
      </c>
      <c r="G6" s="7">
        <v>2177.1</v>
      </c>
      <c r="H6" s="8">
        <f>IFERROR(G6/F6,"")</f>
        <v>0.21825038796059043</v>
      </c>
      <c r="I6" s="18">
        <f>IFERROR(((E6/$B$112) / AVERAGE('V27'!E6/'V27'!$B$112, 'V28'!E6/'V28'!$B$112, 'V29'!E6/'V29'!$B$112, 'V30'!E6/'V30'!$B$112, 'V31'!E6/'V31'!$B$112, 'V32'!E6/'V32'!$B$112, 'V33'!E6/'V33'!$B$112, 'V34'!E6/'V34'!$B$112, 'V35'!E6/'V35'!$B$112, 'V36'!E6/'V36'!$B$112, 'V37'!E6/'V37'!$B$112, 'V38'!E6/'V38'!$B$112, 'V39'!E6/'V39'!$B$112, 'V40'!E6/'V40'!$B$112)) * 100,"")</f>
        <v>111.32898123450869</v>
      </c>
      <c r="J6" s="18">
        <f>IFERROR(((F6/$B$112) / AVERAGE('V27'!F6/'V27'!$B$112, 'V28'!F6/'V28'!$B$112, 'V29'!F6/'V29'!$B$112, 'V30'!F6/'V30'!$B$112, 'V31'!F6/'V31'!$B$112, 'V32'!F6/'V32'!$B$112, 'V33'!F6/'V33'!$B$112, 'V34'!F6/'V34'!$B$112, 'V35'!F6/'V35'!$B$112, 'V36'!F6/'V36'!$B$112, 'V37'!F6/'V37'!$B$112, 'V38'!F6/'V38'!$B$112, 'V39'!F6/'V39'!$B$112, 'V40'!F6/'V40'!$B$112)) * 100,"")</f>
        <v>116.58186123209435</v>
      </c>
      <c r="K6" s="18">
        <f>IFERROR(((G6/$B$112) / AVERAGE('V27'!G6/'V27'!$B$112, 'V28'!G6/'V28'!$B$112, 'V29'!G6/'V29'!$B$112, 'V30'!G6/'V30'!$B$112, 'V31'!G6/'V31'!$B$112, 'V32'!G6/'V32'!$B$112, 'V33'!G6/'V33'!$B$112, 'V34'!G6/'V34'!$B$112, 'V35'!G6/'V35'!$B$112, 'V36'!G6/'V36'!$B$112, 'V37'!G6/'V37'!$B$112, 'V38'!G6/'V38'!$B$112, 'V39'!G6/'V39'!$B$112, 'V40'!G6/'V40'!$B$112)) * 100,"")</f>
        <v>119.08346622535915</v>
      </c>
    </row>
    <row r="7" spans="1:11">
      <c r="C7" s="2" t="s">
        <v>16</v>
      </c>
    </row>
    <row r="8" spans="1:11">
      <c r="C8" s="2" t="s">
        <v>17</v>
      </c>
    </row>
    <row r="9" spans="1:11">
      <c r="C9" s="2" t="s">
        <v>18</v>
      </c>
    </row>
    <row r="10" spans="1:11">
      <c r="C10" s="9" t="s">
        <v>19</v>
      </c>
      <c r="D10" s="10"/>
      <c r="E10" s="11">
        <f>SUM(E6:E9)</f>
        <v>126</v>
      </c>
      <c r="F10" s="11">
        <f>SUM(F6:F9)</f>
        <v>9975.24</v>
      </c>
      <c r="G10" s="11">
        <f>SUM(G6:G9)</f>
        <v>2177.1</v>
      </c>
      <c r="H10" s="12">
        <f>IFERROR(G10/F10,"")</f>
        <v>0.21825038796059043</v>
      </c>
    </row>
    <row r="11" spans="1:11">
      <c r="B11" s="5" t="s">
        <v>20</v>
      </c>
      <c r="E11" s="16">
        <f>IFERROR((E10-('V40'!E10))/('V40'!E10),"")</f>
        <v>0.15596330275229359</v>
      </c>
      <c r="F11" s="16">
        <f>IFERROR((F10-('V40'!F10))/('V40'!F10),"")</f>
        <v>0.15603487838458005</v>
      </c>
      <c r="G11" s="16">
        <f>IFERROR((G10-('V40'!G10))/('V40'!G10),"")</f>
        <v>0.15629132741670781</v>
      </c>
      <c r="H11" s="16">
        <f>IFERROR(H10-('V40'!H10),"")</f>
        <v>4.8404843508653705E-5</v>
      </c>
    </row>
    <row r="12" spans="1:11">
      <c r="B12" s="5" t="s">
        <v>21</v>
      </c>
      <c r="E12" s="13">
        <f>E10/$B$112</f>
        <v>8.0239444692097057E-3</v>
      </c>
      <c r="F12" s="13">
        <f>F10/$B$112</f>
        <v>0.63524422084951915</v>
      </c>
      <c r="G12" s="13">
        <f>G10/$B$112</f>
        <v>0.13864229765013053</v>
      </c>
    </row>
    <row r="13" spans="1:11">
      <c r="B13" s="5" t="s">
        <v>22</v>
      </c>
      <c r="E13" s="8">
        <f>IFERROR((E12-'V40'!E12)/'V40'!E12,"")</f>
        <v>0.36951800830437947</v>
      </c>
      <c r="F13" s="8">
        <f>IFERROR((F12-'V40'!F12)/'V40'!F12,"")</f>
        <v>0.36960280694559799</v>
      </c>
      <c r="G13" s="8">
        <f>IFERROR((G12-'V40'!G12)/'V40'!G12,"")</f>
        <v>0.3699066328256021</v>
      </c>
    </row>
    <row r="14" spans="1:11">
      <c r="B14" s="5" t="s">
        <v>23</v>
      </c>
      <c r="E14" s="18">
        <f>(E12 / AVERAGE('V26'!E12,'V27'!E12,'V28'!E12,'V29'!E12,'V30'!E12,'V31'!E12,'V32'!E12,'V33'!E12,'V34'!E12,'V35'!E12,'V36'!E12,'V37'!E12,'V38'!E12,'V39'!E12,'V40'!E12)) * 100</f>
        <v>108.98691158477003</v>
      </c>
      <c r="F14" s="18">
        <f>(F12 / AVERAGE('V26'!F12,'V27'!F12,'V28'!F12,'V29'!F12,'V30'!F12,'V31'!F12,'V32'!F12,'V33'!F12,'V34'!F12,'V35'!F12,'V36'!F12,'V37'!F12,'V38'!F12,'V39'!F12,'V40'!F12)) * 100</f>
        <v>114.60842999448049</v>
      </c>
      <c r="G14" s="18">
        <f>(G12 / AVERAGE('V26'!G12,'V27'!G12,'V28'!G12,'V29'!G12,'V30'!G12,'V31'!G12,'V32'!G12,'V33'!G12,'V34'!G12,'V35'!G12,'V36'!G12,'V37'!G12,'V38'!G12,'V39'!G12,'V40'!G12)) * 100</f>
        <v>115.47661346549347</v>
      </c>
      <c r="H14" s="14">
        <f>IFERROR((G14*0.6)+(F14*0.4),"")</f>
        <v>115.12934007708827</v>
      </c>
    </row>
    <row r="15" spans="1:11">
      <c r="A15" s="1">
        <v>2</v>
      </c>
      <c r="C15" s="2" t="s">
        <v>24</v>
      </c>
      <c r="D15" s="2" t="s">
        <v>5</v>
      </c>
      <c r="E15" s="2" t="s">
        <v>6</v>
      </c>
      <c r="F15" s="2" t="s">
        <v>7</v>
      </c>
      <c r="G15" s="2" t="s">
        <v>8</v>
      </c>
      <c r="H15" s="2" t="s">
        <v>9</v>
      </c>
      <c r="I15" s="2" t="s">
        <v>10</v>
      </c>
      <c r="J15" s="2" t="s">
        <v>11</v>
      </c>
      <c r="K15" s="2" t="s">
        <v>12</v>
      </c>
    </row>
    <row r="16" spans="1:11">
      <c r="B16" s="6" t="s">
        <v>25</v>
      </c>
      <c r="C16" s="2" t="s">
        <v>26</v>
      </c>
      <c r="D16" s="5" t="s">
        <v>134</v>
      </c>
      <c r="E16" s="7">
        <v>126</v>
      </c>
      <c r="F16" s="7">
        <v>2396.7399999999998</v>
      </c>
      <c r="G16" s="7">
        <v>561.91</v>
      </c>
      <c r="H16" s="8">
        <f>IFERROR(G16/F16,"")</f>
        <v>0.23444762469020419</v>
      </c>
      <c r="I16" s="18">
        <f>IFERROR(((E16/$B$112) / AVERAGE('V27'!E16/'V27'!$B$112, 'V28'!E16/'V28'!$B$112, 'V29'!E16/'V29'!$B$112, 'V30'!E16/'V30'!$B$112, 'V31'!E16/'V31'!$B$112, 'V32'!E16/'V32'!$B$112, 'V33'!E16/'V33'!$B$112, 'V34'!E16/'V34'!$B$112, 'V35'!E16/'V35'!$B$112, 'V36'!E16/'V36'!$B$112, 'V37'!E16/'V37'!$B$112, 'V38'!E16/'V38'!$B$112, 'V39'!E16/'V39'!$B$112, 'V40'!E16/'V40'!$B$112)) * 100,"")</f>
        <v>70.242579455235969</v>
      </c>
      <c r="J16" s="18">
        <f>IFERROR(((F16/$B$112) / AVERAGE('V27'!F16/'V27'!$B$112, 'V28'!F16/'V28'!$B$112, 'V29'!F16/'V29'!$B$112, 'V30'!F16/'V30'!$B$112, 'V31'!F16/'V31'!$B$112, 'V32'!F16/'V32'!$B$112, 'V33'!F16/'V33'!$B$112, 'V34'!F16/'V34'!$B$112, 'V35'!F16/'V35'!$B$112, 'V36'!F16/'V36'!$B$112, 'V37'!F16/'V37'!$B$112, 'V38'!F16/'V38'!$B$112, 'V39'!F16/'V39'!$B$112, 'V40'!F16/'V40'!$B$112)) * 100,"")</f>
        <v>74.321577030299636</v>
      </c>
      <c r="K16" s="18">
        <f>IFERROR(((G16/$B$112) / AVERAGE('V27'!G16/'V27'!$B$112, 'V28'!G16/'V28'!$B$112, 'V29'!G16/'V29'!$B$112, 'V30'!G16/'V30'!$B$112, 'V31'!G16/'V31'!$B$112, 'V32'!G16/'V32'!$B$112, 'V33'!G16/'V33'!$B$112, 'V34'!G16/'V34'!$B$112, 'V35'!G16/'V35'!$B$112, 'V36'!G16/'V36'!$B$112, 'V37'!G16/'V37'!$B$112, 'V38'!G16/'V38'!$B$112, 'V39'!G16/'V39'!$B$112, 'V40'!G16/'V40'!$B$112)) * 100,"")</f>
        <v>96.442612833756087</v>
      </c>
    </row>
    <row r="17" spans="1:11">
      <c r="C17" s="2" t="s">
        <v>28</v>
      </c>
    </row>
    <row r="18" spans="1:11">
      <c r="C18" s="2" t="s">
        <v>29</v>
      </c>
    </row>
    <row r="19" spans="1:11">
      <c r="C19" s="2" t="s">
        <v>30</v>
      </c>
    </row>
    <row r="20" spans="1:11">
      <c r="C20" s="9" t="s">
        <v>19</v>
      </c>
      <c r="D20" s="10"/>
      <c r="E20" s="11">
        <f>SUM(E16:E19)</f>
        <v>126</v>
      </c>
      <c r="F20" s="11">
        <f>SUM(F16:F19)</f>
        <v>2396.7399999999998</v>
      </c>
      <c r="G20" s="11">
        <f>SUM(G16:G19)</f>
        <v>561.91</v>
      </c>
      <c r="H20" s="12">
        <f>IFERROR(G20/F20,"")</f>
        <v>0.23444762469020419</v>
      </c>
    </row>
    <row r="21" spans="1:11">
      <c r="B21" s="5" t="s">
        <v>20</v>
      </c>
      <c r="E21" s="16">
        <f>IFERROR((E20-('V40'!E20))/('V40'!E20),"")</f>
        <v>-0.25882352941176473</v>
      </c>
      <c r="F21" s="16">
        <f>IFERROR((F20-('V40'!F20))/('V40'!F20),"")</f>
        <v>-0.24627973382643378</v>
      </c>
      <c r="G21" s="16">
        <f>IFERROR((G20-('V40'!G20))/('V40'!G20),"")</f>
        <v>-0.25762640208214982</v>
      </c>
      <c r="H21" s="16">
        <f>IFERROR(H20-('V40'!H20),"")</f>
        <v>-3.5833701901057391E-3</v>
      </c>
    </row>
    <row r="22" spans="1:11">
      <c r="B22" s="5" t="s">
        <v>21</v>
      </c>
      <c r="E22" s="13">
        <f>E20/$B$112</f>
        <v>8.0239444692097057E-3</v>
      </c>
      <c r="F22" s="13">
        <f>F20/$B$112</f>
        <v>0.15262943386614022</v>
      </c>
      <c r="G22" s="13">
        <f>G20/$B$112</f>
        <v>3.5783608227727186E-2</v>
      </c>
    </row>
    <row r="23" spans="1:11">
      <c r="B23" s="5" t="s">
        <v>22</v>
      </c>
      <c r="E23" s="8">
        <f>IFERROR((E22-'V40'!E22)/'V40'!E22,"")</f>
        <v>-0.12189727702836838</v>
      </c>
      <c r="F23" s="8">
        <f>IFERROR((F22-'V40'!F22)/'V40'!F22,"")</f>
        <v>-0.10703611845551636</v>
      </c>
      <c r="G23" s="8">
        <f>IFERROR((G22-'V40'!G22)/'V40'!G22,"")</f>
        <v>-0.1204789902780561</v>
      </c>
    </row>
    <row r="24" spans="1:11">
      <c r="B24" s="5" t="s">
        <v>23</v>
      </c>
      <c r="E24" s="18">
        <f>(E22 / AVERAGE('V26'!E22,'V27'!E22,'V28'!E22,'V29'!E22,'V30'!E22,'V31'!E22,'V32'!E22,'V33'!E22,'V34'!E22,'V35'!E22,'V36'!E22,'V37'!E22,'V38'!E22,'V39'!E22,'V40'!E22)) * 100</f>
        <v>71.377165461963173</v>
      </c>
      <c r="F24" s="18">
        <f>(F22 / AVERAGE('V26'!F22,'V27'!F22,'V28'!F22,'V29'!F22,'V30'!F22,'V31'!F22,'V32'!F22,'V33'!F22,'V34'!F22,'V35'!F22,'V36'!F22,'V37'!F22,'V38'!F22,'V39'!F22,'V40'!F22)) * 100</f>
        <v>75.094877048114512</v>
      </c>
      <c r="G24" s="18">
        <f>(G22 / AVERAGE('V26'!G22,'V27'!G22,'V28'!G22,'V29'!G22,'V30'!G22,'V31'!G22,'V32'!G22,'V33'!G22,'V34'!G22,'V35'!G22,'V36'!G22,'V37'!G22,'V38'!G22,'V39'!G22,'V40'!G22)) * 100</f>
        <v>96.828585857473456</v>
      </c>
      <c r="H24" s="14">
        <f>IFERROR((G24*0.6)+(F24*0.4),"")</f>
        <v>88.135102333729876</v>
      </c>
    </row>
    <row r="25" spans="1:11">
      <c r="A25" s="1">
        <v>3</v>
      </c>
      <c r="C25" s="2" t="s">
        <v>31</v>
      </c>
      <c r="D25" s="2" t="s">
        <v>5</v>
      </c>
      <c r="E25" s="2" t="s">
        <v>6</v>
      </c>
      <c r="F25" s="2" t="s">
        <v>7</v>
      </c>
      <c r="G25" s="2" t="s">
        <v>8</v>
      </c>
      <c r="H25" s="2" t="s">
        <v>9</v>
      </c>
      <c r="I25" s="2" t="s">
        <v>10</v>
      </c>
      <c r="J25" s="2" t="s">
        <v>11</v>
      </c>
      <c r="K25" s="2" t="s">
        <v>12</v>
      </c>
    </row>
    <row r="26" spans="1:11">
      <c r="B26" s="6" t="s">
        <v>32</v>
      </c>
      <c r="C26" s="2" t="s">
        <v>33</v>
      </c>
      <c r="D26" s="5" t="s">
        <v>34</v>
      </c>
      <c r="E26" s="7">
        <v>552</v>
      </c>
      <c r="F26" s="7">
        <v>13039.04</v>
      </c>
      <c r="G26" s="7">
        <v>2932.1</v>
      </c>
      <c r="H26" s="8">
        <f>IFERROR(G26/F26,"")</f>
        <v>0.22487084938768495</v>
      </c>
      <c r="I26" s="18">
        <f>IFERROR(((E26/$B$112) / AVERAGE('V27'!E26/'V27'!$B$112, 'V28'!E26/'V28'!$B$112, 'V29'!E26/'V29'!$B$112, 'V30'!E26/'V30'!$B$112, 'V31'!E26/'V31'!$B$112, 'V32'!E26/'V32'!$B$112, 'V33'!E26/'V33'!$B$112, 'V34'!E26/'V34'!$B$112, 'V35'!E26/'V35'!$B$112, 'V36'!E26/'V36'!$B$112, 'V37'!E26/'V37'!$B$112, 'V38'!E26/'V38'!$B$112, 'V39'!E26/'V39'!$B$112, 'V40'!E26/'V40'!$B$112)) * 100,"")</f>
        <v>105.10860151457963</v>
      </c>
      <c r="J26" s="18">
        <f>IFERROR(((F26/$B$112) / AVERAGE('V27'!F26/'V27'!$B$112, 'V28'!F26/'V28'!$B$112, 'V29'!F26/'V29'!$B$112, 'V30'!F26/'V30'!$B$112, 'V31'!F26/'V31'!$B$112, 'V32'!F26/'V32'!$B$112, 'V33'!F26/'V33'!$B$112, 'V34'!F26/'V34'!$B$112, 'V35'!F26/'V35'!$B$112, 'V36'!F26/'V36'!$B$112, 'V37'!F26/'V37'!$B$112, 'V38'!F26/'V38'!$B$112, 'V39'!F26/'V39'!$B$112, 'V40'!F26/'V40'!$B$112)) * 100,"")</f>
        <v>105.08662249507441</v>
      </c>
      <c r="K26" s="18">
        <f>IFERROR(((G26/$B$112) / AVERAGE('V27'!G26/'V27'!$B$112, 'V28'!G26/'V28'!$B$112, 'V29'!G26/'V29'!$B$112, 'V30'!G26/'V30'!$B$112, 'V31'!G26/'V31'!$B$112, 'V32'!G26/'V32'!$B$112, 'V33'!G26/'V33'!$B$112, 'V34'!G26/'V34'!$B$112, 'V35'!G26/'V35'!$B$112, 'V36'!G26/'V36'!$B$112, 'V37'!G26/'V37'!$B$112, 'V38'!G26/'V38'!$B$112, 'V39'!G26/'V39'!$B$112, 'V40'!G26/'V40'!$B$112)) * 100,"")</f>
        <v>107.38501673140301</v>
      </c>
    </row>
    <row r="27" spans="1:11">
      <c r="C27" s="2" t="s">
        <v>35</v>
      </c>
    </row>
    <row r="28" spans="1:11">
      <c r="C28" s="2" t="s">
        <v>36</v>
      </c>
    </row>
    <row r="29" spans="1:11">
      <c r="C29" s="2" t="s">
        <v>37</v>
      </c>
    </row>
    <row r="30" spans="1:11">
      <c r="C30" s="9" t="s">
        <v>19</v>
      </c>
      <c r="D30" s="10"/>
      <c r="E30" s="11">
        <f>SUM(E26:E29)</f>
        <v>552</v>
      </c>
      <c r="F30" s="11">
        <f>SUM(F26:F29)</f>
        <v>13039.04</v>
      </c>
      <c r="G30" s="11">
        <f>SUM(G26:G29)</f>
        <v>2932.1</v>
      </c>
      <c r="H30" s="12">
        <f>IFERROR(G30/F30,"")</f>
        <v>0.22487084938768495</v>
      </c>
    </row>
    <row r="31" spans="1:11">
      <c r="B31" s="5" t="s">
        <v>20</v>
      </c>
      <c r="E31" s="16">
        <f>IFERROR((E30-('V40'!E30))/('V40'!E30),"")</f>
        <v>-0.17857142857142858</v>
      </c>
      <c r="F31" s="16">
        <f>IFERROR((F30-('V40'!F30))/('V40'!F30),"")</f>
        <v>-0.17833777592932173</v>
      </c>
      <c r="G31" s="16">
        <f>IFERROR((G30-('V40'!G30))/('V40'!G30),"")</f>
        <v>-0.18076254659044555</v>
      </c>
      <c r="H31" s="16">
        <f>IFERROR(H30-('V40'!H30),"")</f>
        <v>-6.6557044708828728E-4</v>
      </c>
    </row>
    <row r="32" spans="1:11">
      <c r="B32" s="5" t="s">
        <v>21</v>
      </c>
      <c r="E32" s="13">
        <f>E30/$B$112</f>
        <v>3.5152518627013948E-2</v>
      </c>
      <c r="F32" s="13">
        <f>F30/$B$112</f>
        <v>0.83035343564923902</v>
      </c>
      <c r="G32" s="13">
        <f>G30/$B$112</f>
        <v>0.18672228236642679</v>
      </c>
    </row>
    <row r="33" spans="1:11">
      <c r="B33" s="5" t="s">
        <v>22</v>
      </c>
      <c r="E33" s="8">
        <f>IFERROR((E32-'V40'!E32)/'V40'!E32,"")</f>
        <v>-2.6819261105703224E-2</v>
      </c>
      <c r="F33" s="8">
        <f>IFERROR((F32-'V40'!F32)/'V40'!F32,"")</f>
        <v>-2.6542443061141372E-2</v>
      </c>
      <c r="G33" s="8">
        <f>IFERROR((G32-'V40'!G32)/'V40'!G32,"")</f>
        <v>-2.9415170143835458E-2</v>
      </c>
    </row>
    <row r="34" spans="1:11">
      <c r="B34" s="5" t="s">
        <v>23</v>
      </c>
      <c r="E34" s="18">
        <f>(E32 / AVERAGE('V26'!E32,'V27'!E32,'V28'!E32,'V29'!E32,'V30'!E32,'V31'!E32,'V32'!E32,'V33'!E32,'V34'!E32,'V35'!E32,'V36'!E32,'V37'!E32,'V38'!E32,'V39'!E32,'V40'!E32)) * 100</f>
        <v>108.1249578384097</v>
      </c>
      <c r="F34" s="18">
        <f>(F32 / AVERAGE('V26'!F32,'V27'!F32,'V28'!F32,'V29'!F32,'V30'!F32,'V31'!F32,'V32'!F32,'V33'!F32,'V34'!F32,'V35'!F32,'V36'!F32,'V37'!F32,'V38'!F32,'V39'!F32,'V40'!F32)) * 100</f>
        <v>108.10311897164118</v>
      </c>
      <c r="G34" s="18">
        <f>(G32 / AVERAGE('V26'!G32,'V27'!G32,'V28'!G32,'V29'!G32,'V30'!G32,'V31'!G32,'V32'!G32,'V33'!G32,'V34'!G32,'V35'!G32,'V36'!G32,'V37'!G32,'V38'!G32,'V39'!G32,'V40'!G32)) * 100</f>
        <v>110.42058406975433</v>
      </c>
      <c r="H34" s="14">
        <f>IFERROR((G34*0.6)+(F34*0.4),"")</f>
        <v>109.49359803050908</v>
      </c>
    </row>
    <row r="35" spans="1:11">
      <c r="A35" s="1">
        <v>4</v>
      </c>
      <c r="C35" s="2" t="s">
        <v>38</v>
      </c>
      <c r="D35" s="2" t="s">
        <v>5</v>
      </c>
      <c r="E35" s="2" t="s">
        <v>6</v>
      </c>
      <c r="F35" s="2" t="s">
        <v>7</v>
      </c>
      <c r="G35" s="2" t="s">
        <v>8</v>
      </c>
      <c r="H35" s="2" t="s">
        <v>9</v>
      </c>
      <c r="I35" s="2" t="s">
        <v>10</v>
      </c>
      <c r="J35" s="2" t="s">
        <v>11</v>
      </c>
      <c r="K35" s="2" t="s">
        <v>12</v>
      </c>
    </row>
    <row r="36" spans="1:11">
      <c r="B36" s="6" t="s">
        <v>39</v>
      </c>
      <c r="C36" s="2" t="s">
        <v>40</v>
      </c>
      <c r="D36" s="5" t="s">
        <v>41</v>
      </c>
      <c r="E36" s="7">
        <v>386</v>
      </c>
      <c r="F36" s="7">
        <v>9117.16</v>
      </c>
      <c r="G36" s="7">
        <v>2025.94</v>
      </c>
      <c r="H36" s="8">
        <f>IFERROR(G36/F36,"")</f>
        <v>0.22221174137560382</v>
      </c>
      <c r="I36" s="18">
        <f>IFERROR(((E36/$B$112) / AVERAGE('V27'!E36/'V27'!$B$112, 'V28'!E36/'V28'!$B$112, 'V29'!E36/'V29'!$B$112, 'V30'!E36/'V30'!$B$112, 'V31'!E36/'V31'!$B$112, 'V32'!E36/'V32'!$B$112, 'V33'!E36/'V33'!$B$112, 'V34'!E36/'V34'!$B$112, 'V35'!E36/'V35'!$B$112, 'V36'!E36/'V36'!$B$112, 'V37'!E36/'V37'!$B$112, 'V38'!E36/'V38'!$B$112, 'V39'!E36/'V39'!$B$112, 'V40'!E36/'V40'!$B$112)) * 100,"")</f>
        <v>86.539876202637984</v>
      </c>
      <c r="J36" s="18">
        <f>IFERROR(((F36/$B$112) / AVERAGE('V27'!F36/'V27'!$B$112, 'V28'!F36/'V28'!$B$112, 'V29'!F36/'V29'!$B$112, 'V30'!F36/'V30'!$B$112, 'V31'!F36/'V31'!$B$112, 'V32'!F36/'V32'!$B$112, 'V33'!F36/'V33'!$B$112, 'V34'!F36/'V34'!$B$112, 'V35'!F36/'V35'!$B$112, 'V36'!F36/'V36'!$B$112, 'V37'!F36/'V37'!$B$112, 'V38'!F36/'V38'!$B$112, 'V39'!F36/'V39'!$B$112, 'V40'!F36/'V40'!$B$112)) * 100,"")</f>
        <v>86.532892177737168</v>
      </c>
      <c r="K36" s="18">
        <f>IFERROR(((G36/$B$112) / AVERAGE('V27'!G36/'V27'!$B$112, 'V28'!G36/'V28'!$B$112, 'V29'!G36/'V29'!$B$112, 'V30'!G36/'V30'!$B$112, 'V31'!G36/'V31'!$B$112, 'V32'!G36/'V32'!$B$112, 'V33'!G36/'V33'!$B$112, 'V34'!G36/'V34'!$B$112, 'V35'!G36/'V35'!$B$112, 'V36'!G36/'V36'!$B$112, 'V37'!G36/'V37'!$B$112, 'V38'!G36/'V38'!$B$112, 'V39'!G36/'V39'!$B$112, 'V40'!G36/'V40'!$B$112)) * 100,"")</f>
        <v>86.386004824229772</v>
      </c>
    </row>
    <row r="37" spans="1:11">
      <c r="C37" s="2" t="s">
        <v>42</v>
      </c>
    </row>
    <row r="38" spans="1:11">
      <c r="C38" s="2" t="s">
        <v>43</v>
      </c>
    </row>
    <row r="39" spans="1:11">
      <c r="C39" s="2" t="s">
        <v>44</v>
      </c>
    </row>
    <row r="40" spans="1:11">
      <c r="C40" s="9" t="s">
        <v>19</v>
      </c>
      <c r="D40" s="10"/>
      <c r="E40" s="11">
        <f>SUM(E36:E39)</f>
        <v>386</v>
      </c>
      <c r="F40" s="11">
        <f>SUM(F36:F39)</f>
        <v>9117.16</v>
      </c>
      <c r="G40" s="11">
        <f>SUM(G36:G39)</f>
        <v>2025.94</v>
      </c>
      <c r="H40" s="12">
        <f>IFERROR(G40/F40,"")</f>
        <v>0.22221174137560382</v>
      </c>
    </row>
    <row r="41" spans="1:11">
      <c r="B41" s="5" t="s">
        <v>20</v>
      </c>
      <c r="E41" s="16">
        <f>IFERROR((E40-('V40'!E40))/('V40'!E40),"")</f>
        <v>-0.23564356435643563</v>
      </c>
      <c r="F41" s="16">
        <f>IFERROR((F40-('V40'!F40))/('V40'!F40),"")</f>
        <v>-0.23556982042033281</v>
      </c>
      <c r="G41" s="16">
        <f>IFERROR((G40-('V40'!G40))/('V40'!G40),"")</f>
        <v>-0.2478466838931955</v>
      </c>
      <c r="H41" s="16">
        <f>IFERROR(H40-('V40'!H40),"")</f>
        <v>-3.6270041659272334E-3</v>
      </c>
    </row>
    <row r="42" spans="1:11">
      <c r="B42" s="5" t="s">
        <v>21</v>
      </c>
      <c r="E42" s="13">
        <f>E40/$B$112</f>
        <v>2.4581290199324968E-2</v>
      </c>
      <c r="F42" s="13">
        <f>F40/$B$112</f>
        <v>0.58059988537222185</v>
      </c>
      <c r="G42" s="13">
        <f>G40/$B$112</f>
        <v>0.12901611157103737</v>
      </c>
    </row>
    <row r="43" spans="1:11">
      <c r="B43" s="5" t="s">
        <v>22</v>
      </c>
      <c r="E43" s="8">
        <f>IFERROR((E42-'V40'!E42)/'V40'!E42,"")</f>
        <v>-9.4435004221303576E-2</v>
      </c>
      <c r="F43" s="8">
        <f>IFERROR((F42-'V40'!F42)/'V40'!F42,"")</f>
        <v>-9.4347636699985415E-2</v>
      </c>
      <c r="G43" s="8">
        <f>IFERROR((G42-'V40'!G42)/'V40'!G42,"")</f>
        <v>-0.10889254964968541</v>
      </c>
    </row>
    <row r="44" spans="1:11">
      <c r="B44" s="5" t="s">
        <v>23</v>
      </c>
      <c r="E44" s="18">
        <f>(E42 / AVERAGE('V26'!E42,'V27'!E42,'V28'!E42,'V29'!E42,'V30'!E42,'V31'!E42,'V32'!E42,'V33'!E42,'V34'!E42,'V35'!E42,'V36'!E42,'V37'!E42,'V38'!E42,'V39'!E42,'V40'!E42)) * 100</f>
        <v>86.897188927634218</v>
      </c>
      <c r="F44" s="18">
        <f>(F42 / AVERAGE('V26'!F42,'V27'!F42,'V28'!F42,'V29'!F42,'V30'!F42,'V31'!F42,'V32'!F42,'V33'!F42,'V34'!F42,'V35'!F42,'V36'!F42,'V37'!F42,'V38'!F42,'V39'!F42,'V40'!F42)) * 100</f>
        <v>86.889098900048353</v>
      </c>
      <c r="G44" s="18">
        <f>(G42 / AVERAGE('V26'!G42,'V27'!G42,'V28'!G42,'V29'!G42,'V30'!G42,'V31'!G42,'V32'!G42,'V33'!G42,'V34'!G42,'V35'!G42,'V36'!G42,'V37'!G42,'V38'!G42,'V39'!G42,'V40'!G42)) * 100</f>
        <v>86.789088873545154</v>
      </c>
      <c r="H44" s="14">
        <f>IFERROR((G44*0.6)+(F44*0.4),"")</f>
        <v>86.829092884146434</v>
      </c>
    </row>
    <row r="45" spans="1:11">
      <c r="A45" s="1">
        <v>5</v>
      </c>
      <c r="C45" s="2" t="s">
        <v>45</v>
      </c>
      <c r="D45" s="2" t="s">
        <v>5</v>
      </c>
      <c r="E45" s="2" t="s">
        <v>6</v>
      </c>
      <c r="F45" s="2" t="s">
        <v>7</v>
      </c>
      <c r="G45" s="2" t="s">
        <v>8</v>
      </c>
      <c r="H45" s="2" t="s">
        <v>9</v>
      </c>
      <c r="I45" s="2" t="s">
        <v>10</v>
      </c>
      <c r="J45" s="2" t="s">
        <v>11</v>
      </c>
      <c r="K45" s="2" t="s">
        <v>12</v>
      </c>
    </row>
    <row r="46" spans="1:11">
      <c r="B46" s="6" t="s">
        <v>124</v>
      </c>
      <c r="C46" s="2" t="s">
        <v>47</v>
      </c>
      <c r="D46" s="5" t="s">
        <v>125</v>
      </c>
      <c r="E46" s="7">
        <v>96</v>
      </c>
      <c r="F46" s="7">
        <v>7603.2</v>
      </c>
      <c r="G46" s="7">
        <v>2171.9</v>
      </c>
      <c r="H46" s="8">
        <f>IFERROR(G46/F46,"")</f>
        <v>0.28565603956228958</v>
      </c>
      <c r="I46" s="18">
        <f>IFERROR(((E46/$B$112) / AVERAGE('V27'!E46/'V27'!$B$112, 'V28'!E46/'V28'!$B$112, 'V29'!E46/'V29'!$B$112, 'V30'!E46/'V30'!$B$112, 'V31'!E46/'V31'!$B$112, 'V32'!E46/'V32'!$B$112, 'V33'!E46/'V33'!$B$112, 'V34'!E46/'V34'!$B$112, 'V35'!E46/'V35'!$B$112, 'V36'!E46/'V36'!$B$112, 'V37'!E46/'V37'!$B$112, 'V38'!E46/'V38'!$B$112, 'V39'!E46/'V39'!$B$112, 'V40'!E46/'V40'!$B$112)) * 100,"")</f>
        <v>65.575394838907101</v>
      </c>
      <c r="J46" s="18">
        <f>IFERROR(((F46/$B$112) / AVERAGE('V27'!F46/'V27'!$B$112, 'V28'!F46/'V28'!$B$112, 'V29'!F46/'V29'!$B$112, 'V30'!F46/'V30'!$B$112, 'V31'!F46/'V31'!$B$112, 'V32'!F46/'V32'!$B$112, 'V33'!F46/'V33'!$B$112, 'V34'!F46/'V34'!$B$112, 'V35'!F46/'V35'!$B$112, 'V36'!F46/'V36'!$B$112, 'V37'!F46/'V37'!$B$112, 'V38'!F46/'V38'!$B$112, 'V39'!F46/'V39'!$B$112, 'V40'!F46/'V40'!$B$112)) * 100,"")</f>
        <v>66.237115483969021</v>
      </c>
      <c r="K46" s="18">
        <f>IFERROR(((G46/$B$112) / AVERAGE('V27'!G46/'V27'!$B$112, 'V28'!G46/'V28'!$B$112, 'V29'!G46/'V29'!$B$112, 'V30'!G46/'V30'!$B$112, 'V31'!G46/'V31'!$B$112, 'V32'!G46/'V32'!$B$112, 'V33'!G46/'V33'!$B$112, 'V34'!G46/'V34'!$B$112, 'V35'!G46/'V35'!$B$112, 'V36'!G46/'V36'!$B$112, 'V37'!G46/'V37'!$B$112, 'V38'!G46/'V38'!$B$112, 'V39'!G46/'V39'!$B$112, 'V40'!G46/'V40'!$B$112)) * 100,"")</f>
        <v>146.73580077542664</v>
      </c>
    </row>
    <row r="47" spans="1:11">
      <c r="C47" s="2" t="s">
        <v>49</v>
      </c>
    </row>
    <row r="48" spans="1:11">
      <c r="C48" s="2" t="s">
        <v>50</v>
      </c>
    </row>
    <row r="49" spans="1:11">
      <c r="C49" s="2" t="s">
        <v>51</v>
      </c>
    </row>
    <row r="50" spans="1:11">
      <c r="C50" s="9" t="s">
        <v>19</v>
      </c>
      <c r="D50" s="10"/>
      <c r="E50" s="11">
        <f>SUM(E46:E49)</f>
        <v>96</v>
      </c>
      <c r="F50" s="11">
        <f>SUM(F46:F49)</f>
        <v>7603.2</v>
      </c>
      <c r="G50" s="11">
        <f>SUM(G46:G49)</f>
        <v>2171.9</v>
      </c>
      <c r="H50" s="12">
        <f>IFERROR(G50/F50,"")</f>
        <v>0.28565603956228958</v>
      </c>
    </row>
    <row r="51" spans="1:11">
      <c r="B51" s="5" t="s">
        <v>20</v>
      </c>
      <c r="E51" s="16">
        <f>IFERROR((E50-('V40'!E50))/('V40'!E50),"")</f>
        <v>-0.15044247787610621</v>
      </c>
      <c r="F51" s="16">
        <f>IFERROR((F50-('V40'!F50))/('V40'!F50),"")</f>
        <v>-0.15044247787610626</v>
      </c>
      <c r="G51" s="16">
        <f>IFERROR((G50-('V40'!G50))/('V40'!G50),"")</f>
        <v>-0.17153646628013419</v>
      </c>
      <c r="H51" s="16">
        <f>IFERROR(H50-('V40'!H50),"")</f>
        <v>-7.2732533670033517E-3</v>
      </c>
    </row>
    <row r="52" spans="1:11">
      <c r="B52" s="5" t="s">
        <v>21</v>
      </c>
      <c r="E52" s="13">
        <f>E50/$B$112</f>
        <v>6.1134815003502513E-3</v>
      </c>
      <c r="F52" s="13">
        <f>F50/$B$112</f>
        <v>0.48418773482773991</v>
      </c>
      <c r="G52" s="13">
        <f>G50/$B$112</f>
        <v>0.13831115073552824</v>
      </c>
    </row>
    <row r="53" spans="1:11">
      <c r="B53" s="5" t="s">
        <v>22</v>
      </c>
      <c r="E53" s="8">
        <f>IFERROR((E52-'V40'!E52)/'V40'!E52,"")</f>
        <v>6.5062817036820189E-3</v>
      </c>
      <c r="F53" s="8">
        <f>IFERROR((F52-'V40'!F52)/'V40'!F52,"")</f>
        <v>6.5062817036820259E-3</v>
      </c>
      <c r="G53" s="8">
        <f>IFERROR((G52-'V40'!G52)/'V40'!G52,"")</f>
        <v>-1.8484647435242783E-2</v>
      </c>
    </row>
    <row r="54" spans="1:11">
      <c r="B54" s="5" t="s">
        <v>23</v>
      </c>
      <c r="E54" s="18">
        <f>(E52 / AVERAGE('V26'!E52,'V27'!E52,'V28'!E52,'V29'!E52,'V30'!E52,'V31'!E52,'V32'!E52,'V33'!E52,'V34'!E52,'V35'!E52,'V36'!E52,'V37'!E52,'V38'!E52,'V39'!E52,'V40'!E52)) * 100</f>
        <v>63.935028608400515</v>
      </c>
      <c r="F54" s="18">
        <f>(F52 / AVERAGE('V26'!F52,'V27'!F52,'V28'!F52,'V29'!F52,'V30'!F52,'V31'!F52,'V32'!F52,'V33'!F52,'V34'!F52,'V35'!F52,'V36'!F52,'V37'!F52,'V38'!F52,'V39'!F52,'V40'!F52)) * 100</f>
        <v>65.061865836314311</v>
      </c>
      <c r="G54" s="18">
        <f>(G52 / AVERAGE('V26'!G52,'V27'!G52,'V28'!G52,'V29'!G52,'V30'!G52,'V31'!G52,'V32'!G52,'V33'!G52,'V34'!G52,'V35'!G52,'V36'!G52,'V37'!G52,'V38'!G52,'V39'!G52,'V40'!G52)) * 100</f>
        <v>157.43720084183857</v>
      </c>
      <c r="H54" s="14">
        <f>IFERROR((G54*0.6)+(F54*0.4),"")</f>
        <v>120.48706683962887</v>
      </c>
    </row>
    <row r="55" spans="1:11">
      <c r="A55" s="1">
        <v>6</v>
      </c>
      <c r="C55" s="2" t="s">
        <v>52</v>
      </c>
      <c r="D55" s="2" t="s">
        <v>5</v>
      </c>
      <c r="E55" s="2" t="s">
        <v>6</v>
      </c>
      <c r="F55" s="2" t="s">
        <v>7</v>
      </c>
      <c r="G55" s="2" t="s">
        <v>8</v>
      </c>
      <c r="H55" s="2" t="s">
        <v>9</v>
      </c>
      <c r="I55" s="2" t="s">
        <v>10</v>
      </c>
      <c r="J55" s="2" t="s">
        <v>11</v>
      </c>
      <c r="K55" s="2" t="s">
        <v>12</v>
      </c>
    </row>
    <row r="56" spans="1:11">
      <c r="B56" s="6" t="s">
        <v>53</v>
      </c>
      <c r="C56" s="2" t="s">
        <v>54</v>
      </c>
      <c r="D56" s="5" t="s">
        <v>55</v>
      </c>
      <c r="E56" s="7">
        <v>150</v>
      </c>
      <c r="F56" s="7">
        <v>6014.24</v>
      </c>
      <c r="G56" s="7">
        <v>1214.24</v>
      </c>
      <c r="H56" s="8">
        <f>IFERROR(G56/F56,"")</f>
        <v>0.20189417116709676</v>
      </c>
      <c r="I56" s="18">
        <f>IFERROR(((E56/$B$112) / AVERAGE('V27'!E56/'V27'!$B$112, 'V28'!E56/'V28'!$B$112, 'V29'!E56/'V29'!$B$112, 'V30'!E56/'V30'!$B$112, 'V31'!E56/'V31'!$B$112, 'V32'!E56/'V32'!$B$112, 'V33'!E56/'V33'!$B$112, 'V34'!E56/'V34'!$B$112, 'V35'!E56/'V35'!$B$112, 'V36'!E56/'V36'!$B$112, 'V37'!E56/'V37'!$B$112, 'V38'!E56/'V38'!$B$112, 'V39'!E56/'V39'!$B$112, 'V40'!E56/'V40'!$B$112)) * 100,"")</f>
        <v>94.507681055679555</v>
      </c>
      <c r="J56" s="18">
        <f>IFERROR(((F56/$B$112) / AVERAGE('V27'!F56/'V27'!$B$112, 'V28'!F56/'V28'!$B$112, 'V29'!F56/'V29'!$B$112, 'V30'!F56/'V30'!$B$112, 'V31'!F56/'V31'!$B$112, 'V32'!F56/'V32'!$B$112, 'V33'!F56/'V33'!$B$112, 'V34'!F56/'V34'!$B$112, 'V35'!F56/'V35'!$B$112, 'V36'!F56/'V36'!$B$112, 'V37'!F56/'V37'!$B$112, 'V38'!F56/'V38'!$B$112, 'V39'!F56/'V39'!$B$112, 'V40'!F56/'V40'!$B$112)) * 100,"")</f>
        <v>93.276541066128232</v>
      </c>
      <c r="K56" s="18">
        <f>IFERROR(((G56/$B$112) / AVERAGE('V27'!G56/'V27'!$B$112, 'V28'!G56/'V28'!$B$112, 'V29'!G56/'V29'!$B$112, 'V30'!G56/'V30'!$B$112, 'V31'!G56/'V31'!$B$112, 'V32'!G56/'V32'!$B$112, 'V33'!G56/'V33'!$B$112, 'V34'!G56/'V34'!$B$112, 'V35'!G56/'V35'!$B$112, 'V36'!G56/'V36'!$B$112, 'V37'!G56/'V37'!$B$112, 'V38'!G56/'V38'!$B$112, 'V39'!G56/'V39'!$B$112, 'V40'!G56/'V40'!$B$112)) * 100,"")</f>
        <v>89.21371960337656</v>
      </c>
    </row>
    <row r="57" spans="1:11">
      <c r="C57" s="2" t="s">
        <v>56</v>
      </c>
    </row>
    <row r="58" spans="1:11">
      <c r="C58" s="2" t="s">
        <v>57</v>
      </c>
    </row>
    <row r="59" spans="1:11">
      <c r="C59" s="2" t="s">
        <v>58</v>
      </c>
    </row>
    <row r="60" spans="1:11">
      <c r="C60" s="9" t="s">
        <v>19</v>
      </c>
      <c r="D60" s="10"/>
      <c r="E60" s="11">
        <f>SUM(E56:E59)</f>
        <v>150</v>
      </c>
      <c r="F60" s="11">
        <f>SUM(F56:F59)</f>
        <v>6014.24</v>
      </c>
      <c r="G60" s="11">
        <f>SUM(G56:G59)</f>
        <v>1214.24</v>
      </c>
      <c r="H60" s="12">
        <f>IFERROR(G60/F60,"")</f>
        <v>0.20189417116709676</v>
      </c>
    </row>
    <row r="61" spans="1:11">
      <c r="B61" s="5" t="s">
        <v>20</v>
      </c>
      <c r="E61" s="16">
        <f>IFERROR((E60-('V40'!E60))/('V40'!E60),"")</f>
        <v>-7.407407407407407E-2</v>
      </c>
      <c r="F61" s="16">
        <f>IFERROR((F60-('V40'!F60))/('V40'!F60),"")</f>
        <v>-7.2895213900775704E-2</v>
      </c>
      <c r="G61" s="16">
        <f>IFERROR((G60-('V40'!G60))/('V40'!G60),"")</f>
        <v>-6.8205537479280418E-2</v>
      </c>
      <c r="H61" s="16">
        <f>IFERROR(H60-('V40'!H60),"")</f>
        <v>1.0161235897435117E-3</v>
      </c>
    </row>
    <row r="62" spans="1:11">
      <c r="B62" s="5" t="s">
        <v>21</v>
      </c>
      <c r="E62" s="13">
        <f>E60/$B$112</f>
        <v>9.5523148442972685E-3</v>
      </c>
      <c r="F62" s="13">
        <f>F60/$B$112</f>
        <v>0.38299942686110933</v>
      </c>
      <c r="G62" s="13">
        <f>G60/$B$112</f>
        <v>7.7325351843596762E-2</v>
      </c>
    </row>
    <row r="63" spans="1:11">
      <c r="B63" s="5" t="s">
        <v>22</v>
      </c>
      <c r="E63" s="8">
        <f>IFERROR((E62-'V40'!E62)/'V40'!E62,"")</f>
        <v>9.6983119526582576E-2</v>
      </c>
      <c r="F63" s="8">
        <f>IFERROR((F62-'V40'!F62)/'V40'!F62,"")</f>
        <v>9.8379764413804346E-2</v>
      </c>
      <c r="G63" s="8">
        <f>IFERROR((G62-'V40'!G62)/'V40'!G62,"")</f>
        <v>0.1039358199538602</v>
      </c>
    </row>
    <row r="64" spans="1:11">
      <c r="B64" s="5" t="s">
        <v>23</v>
      </c>
      <c r="E64" s="18">
        <f>(E62 / AVERAGE('V26'!E62,'V27'!E62,'V28'!E62,'V29'!E62,'V30'!E62,'V31'!E62,'V32'!E62,'V33'!E62,'V34'!E62,'V35'!E62,'V36'!E62,'V37'!E62,'V38'!E62,'V39'!E62,'V40'!E62)) * 100</f>
        <v>94.349375008371965</v>
      </c>
      <c r="F64" s="18">
        <f>(F62 / AVERAGE('V26'!F62,'V27'!F62,'V28'!F62,'V29'!F62,'V30'!F62,'V31'!F62,'V32'!F62,'V33'!F62,'V34'!F62,'V35'!F62,'V36'!F62,'V37'!F62,'V38'!F62,'V39'!F62,'V40'!F62)) * 100</f>
        <v>93.099053483198119</v>
      </c>
      <c r="G64" s="18">
        <f>(G62 / AVERAGE('V26'!G62,'V27'!G62,'V28'!G62,'V29'!G62,'V30'!G62,'V31'!G62,'V32'!G62,'V33'!G62,'V34'!G62,'V35'!G62,'V36'!G62,'V37'!G62,'V38'!G62,'V39'!G62,'V40'!G62)) * 100</f>
        <v>88.933577869385431</v>
      </c>
      <c r="H64" s="14">
        <f>IFERROR((G64*0.6)+(F64*0.4),"")</f>
        <v>90.599768114910518</v>
      </c>
    </row>
    <row r="65" spans="1:11">
      <c r="A65" s="1">
        <v>7</v>
      </c>
      <c r="C65" s="2" t="s">
        <v>59</v>
      </c>
      <c r="D65" s="2" t="s">
        <v>5</v>
      </c>
      <c r="E65" s="2" t="s">
        <v>6</v>
      </c>
      <c r="F65" s="2" t="s">
        <v>7</v>
      </c>
      <c r="G65" s="2" t="s">
        <v>8</v>
      </c>
      <c r="H65" s="2" t="s">
        <v>9</v>
      </c>
      <c r="I65" s="2" t="s">
        <v>10</v>
      </c>
      <c r="J65" s="2" t="s">
        <v>11</v>
      </c>
      <c r="K65" s="2" t="s">
        <v>12</v>
      </c>
    </row>
    <row r="66" spans="1:11">
      <c r="B66" s="6" t="s">
        <v>140</v>
      </c>
      <c r="C66" s="2" t="s">
        <v>61</v>
      </c>
      <c r="D66" s="5" t="s">
        <v>141</v>
      </c>
      <c r="E66" s="7">
        <v>143</v>
      </c>
      <c r="F66" s="7">
        <v>5605.6</v>
      </c>
      <c r="G66" s="7">
        <v>2030.6</v>
      </c>
      <c r="H66" s="8">
        <f>IFERROR(G66/F66,"")</f>
        <v>0.36224489795918363</v>
      </c>
      <c r="I66" s="18">
        <f>IFERROR(((E66/$B$112) / AVERAGE('V27'!E66/'V27'!$B$112, 'V28'!E66/'V28'!$B$112, 'V29'!E66/'V29'!$B$112, 'V30'!E66/'V30'!$B$112, 'V31'!E66/'V31'!$B$112, 'V32'!E66/'V32'!$B$112, 'V33'!E66/'V33'!$B$112, 'V34'!E66/'V34'!$B$112, 'V35'!E66/'V35'!$B$112, 'V36'!E66/'V36'!$B$112, 'V37'!E66/'V37'!$B$112, 'V38'!E66/'V38'!$B$112, 'V39'!E66/'V39'!$B$112, 'V40'!E66/'V40'!$B$112)) * 100,"")</f>
        <v>112.01059528059407</v>
      </c>
      <c r="J66" s="18">
        <f>IFERROR(((F66/$B$112) / AVERAGE('V27'!F66/'V27'!$B$112, 'V28'!F66/'V28'!$B$112, 'V29'!F66/'V29'!$B$112, 'V30'!F66/'V30'!$B$112, 'V31'!F66/'V31'!$B$112, 'V32'!F66/'V32'!$B$112, 'V33'!F66/'V33'!$B$112, 'V34'!F66/'V34'!$B$112, 'V35'!F66/'V35'!$B$112, 'V36'!F66/'V36'!$B$112, 'V37'!F66/'V37'!$B$112, 'V38'!F66/'V38'!$B$112, 'V39'!F66/'V39'!$B$112, 'V40'!F66/'V40'!$B$112)) * 100,"")</f>
        <v>189.28981613646212</v>
      </c>
      <c r="K66" s="18">
        <f>IFERROR(((G66/$B$112) / AVERAGE('V27'!G66/'V27'!$B$112, 'V28'!G66/'V28'!$B$112, 'V29'!G66/'V29'!$B$112, 'V30'!G66/'V30'!$B$112, 'V31'!G66/'V31'!$B$112, 'V32'!G66/'V32'!$B$112, 'V33'!G66/'V33'!$B$112, 'V34'!G66/'V34'!$B$112, 'V35'!G66/'V35'!$B$112, 'V36'!G66/'V36'!$B$112, 'V37'!G66/'V37'!$B$112, 'V38'!G66/'V38'!$B$112, 'V39'!G66/'V39'!$B$112, 'V40'!G66/'V40'!$B$112)) * 100,"")</f>
        <v>263.02382093443799</v>
      </c>
    </row>
    <row r="67" spans="1:11">
      <c r="C67" s="2" t="s">
        <v>63</v>
      </c>
    </row>
    <row r="68" spans="1:11">
      <c r="C68" s="2" t="s">
        <v>64</v>
      </c>
    </row>
    <row r="69" spans="1:11">
      <c r="C69" s="2" t="s">
        <v>65</v>
      </c>
    </row>
    <row r="70" spans="1:11">
      <c r="C70" s="9" t="s">
        <v>19</v>
      </c>
      <c r="D70" s="10"/>
      <c r="E70" s="11">
        <f>SUM(E66:E69)</f>
        <v>143</v>
      </c>
      <c r="F70" s="11">
        <f>SUM(F66:F69)</f>
        <v>5605.6</v>
      </c>
      <c r="G70" s="11">
        <f>SUM(G66:G69)</f>
        <v>2030.6</v>
      </c>
      <c r="H70" s="12">
        <f>IFERROR(G70/F70,"")</f>
        <v>0.36224489795918363</v>
      </c>
    </row>
    <row r="71" spans="1:11">
      <c r="B71" s="5" t="s">
        <v>20</v>
      </c>
      <c r="E71" s="16">
        <f>IFERROR((E70-('V40'!E70))/('V40'!E70),"")</f>
        <v>-0.21428571428571427</v>
      </c>
      <c r="F71" s="16">
        <f>IFERROR((F70-('V40'!F70))/('V40'!F70),"")</f>
        <v>-0.21428571428571419</v>
      </c>
      <c r="G71" s="16">
        <f>IFERROR((G70-('V40'!G70))/('V40'!G70),"")</f>
        <v>-0.21428571428571436</v>
      </c>
      <c r="H71" s="16">
        <f>IFERROR(H70-('V40'!H70),"")</f>
        <v>-5.5511151231257827E-17</v>
      </c>
    </row>
    <row r="72" spans="1:11">
      <c r="B72" s="5" t="s">
        <v>21</v>
      </c>
      <c r="E72" s="13">
        <f>E70/$B$112</f>
        <v>9.1065401515633953E-3</v>
      </c>
      <c r="F72" s="13">
        <f>F70/$B$112</f>
        <v>0.35697637394128512</v>
      </c>
      <c r="G72" s="13">
        <f>G70/$B$112</f>
        <v>0.12931287015220022</v>
      </c>
    </row>
    <row r="73" spans="1:11">
      <c r="B73" s="5" t="s">
        <v>22</v>
      </c>
      <c r="E73" s="8">
        <f>IFERROR((E72-'V40'!E72)/'V40'!E72,"")</f>
        <v>-6.913146714458572E-2</v>
      </c>
      <c r="F73" s="8">
        <f>IFERROR((F72-'V40'!F72)/'V40'!F72,"")</f>
        <v>-6.9131467144585637E-2</v>
      </c>
      <c r="G73" s="8">
        <f>IFERROR((G72-'V40'!G72)/'V40'!G72,"")</f>
        <v>-6.9131467144585665E-2</v>
      </c>
    </row>
    <row r="74" spans="1:11">
      <c r="B74" s="5" t="s">
        <v>23</v>
      </c>
      <c r="E74" s="18">
        <f>(E72 / AVERAGE('V26'!E72,'V27'!E72,'V28'!E72,'V29'!E72,'V30'!E72,'V31'!E72,'V32'!E72,'V33'!E72,'V34'!E72,'V35'!E72,'V36'!E72,'V37'!E72,'V38'!E72,'V39'!E72,'V40'!E72)) * 100</f>
        <v>113.4395553634559</v>
      </c>
      <c r="F74" s="18">
        <f>(F72 / AVERAGE('V26'!F72,'V27'!F72,'V28'!F72,'V29'!F72,'V30'!F72,'V31'!F72,'V32'!F72,'V33'!F72,'V34'!F72,'V35'!F72,'V36'!F72,'V37'!F72,'V38'!F72,'V39'!F72,'V40'!F72)) * 100</f>
        <v>192.81358694422966</v>
      </c>
      <c r="G74" s="18">
        <f>(G72 / AVERAGE('V26'!G72,'V27'!G72,'V28'!G72,'V29'!G72,'V30'!G72,'V31'!G72,'V32'!G72,'V33'!G72,'V34'!G72,'V35'!G72,'V36'!G72,'V37'!G72,'V38'!G72,'V39'!G72,'V40'!G72)) * 100</f>
        <v>269.39740856964897</v>
      </c>
      <c r="H74" s="14">
        <f>IFERROR((G74*0.6)+(F74*0.4),"")</f>
        <v>238.76387991948127</v>
      </c>
    </row>
    <row r="75" spans="1:11">
      <c r="A75" s="1">
        <v>8</v>
      </c>
      <c r="C75" s="2" t="s">
        <v>66</v>
      </c>
      <c r="D75" s="2" t="s">
        <v>5</v>
      </c>
      <c r="E75" s="2" t="s">
        <v>6</v>
      </c>
      <c r="F75" s="2" t="s">
        <v>7</v>
      </c>
      <c r="G75" s="2" t="s">
        <v>8</v>
      </c>
      <c r="H75" s="2" t="s">
        <v>9</v>
      </c>
      <c r="I75" s="2" t="s">
        <v>10</v>
      </c>
      <c r="J75" s="2" t="s">
        <v>11</v>
      </c>
      <c r="K75" s="2" t="s">
        <v>12</v>
      </c>
    </row>
    <row r="76" spans="1:11">
      <c r="B76" s="6" t="s">
        <v>126</v>
      </c>
      <c r="C76" s="2" t="s">
        <v>68</v>
      </c>
      <c r="D76" s="5" t="s">
        <v>127</v>
      </c>
      <c r="E76" s="7">
        <v>51</v>
      </c>
      <c r="F76" s="7">
        <v>1629.96</v>
      </c>
      <c r="G76" s="7">
        <v>329.46</v>
      </c>
      <c r="H76" s="8">
        <f>IFERROR(G76/F76,"")</f>
        <v>0.20212765957446807</v>
      </c>
      <c r="I76" s="18">
        <f>IFERROR(((E76/$B$112) / AVERAGE('V27'!E76/'V27'!$B$112, 'V28'!E76/'V28'!$B$112, 'V29'!E76/'V29'!$B$112, 'V30'!E76/'V30'!$B$112, 'V31'!E76/'V31'!$B$112, 'V32'!E76/'V32'!$B$112, 'V33'!E76/'V33'!$B$112, 'V34'!E76/'V34'!$B$112, 'V35'!E76/'V35'!$B$112, 'V36'!E76/'V36'!$B$112, 'V37'!E76/'V37'!$B$112, 'V38'!E76/'V38'!$B$112, 'V39'!E76/'V39'!$B$112, 'V40'!E76/'V40'!$B$112)) * 100,"")</f>
        <v>67.550698583862712</v>
      </c>
      <c r="J76" s="18">
        <f>IFERROR(((F76/$B$112) / AVERAGE('V27'!F76/'V27'!$B$112, 'V28'!F76/'V28'!$B$112, 'V29'!F76/'V29'!$B$112, 'V30'!F76/'V30'!$B$112, 'V31'!F76/'V31'!$B$112, 'V32'!F76/'V32'!$B$112, 'V33'!F76/'V33'!$B$112, 'V34'!F76/'V34'!$B$112, 'V35'!F76/'V35'!$B$112, 'V36'!F76/'V36'!$B$112, 'V37'!F76/'V37'!$B$112, 'V38'!F76/'V38'!$B$112, 'V39'!F76/'V39'!$B$112, 'V40'!F76/'V40'!$B$112)) * 100,"")</f>
        <v>86.252896471908471</v>
      </c>
      <c r="K76" s="18">
        <f>IFERROR(((G76/$B$112) / AVERAGE('V27'!G76/'V27'!$B$112, 'V28'!G76/'V28'!$B$112, 'V29'!G76/'V29'!$B$112, 'V30'!G76/'V30'!$B$112, 'V31'!G76/'V31'!$B$112, 'V32'!G76/'V32'!$B$112, 'V33'!G76/'V33'!$B$112, 'V34'!G76/'V34'!$B$112, 'V35'!G76/'V35'!$B$112, 'V36'!G76/'V36'!$B$112, 'V37'!G76/'V37'!$B$112, 'V38'!G76/'V38'!$B$112, 'V39'!G76/'V39'!$B$112, 'V40'!G76/'V40'!$B$112)) * 100,"")</f>
        <v>81.331605818445709</v>
      </c>
    </row>
    <row r="77" spans="1:11">
      <c r="C77" s="2" t="s">
        <v>70</v>
      </c>
    </row>
    <row r="78" spans="1:11">
      <c r="C78" s="2" t="s">
        <v>71</v>
      </c>
    </row>
    <row r="79" spans="1:11">
      <c r="C79" s="2" t="s">
        <v>72</v>
      </c>
    </row>
    <row r="80" spans="1:11">
      <c r="C80" s="9" t="s">
        <v>19</v>
      </c>
      <c r="D80" s="10"/>
      <c r="E80" s="11">
        <f>SUM(E76:E79)</f>
        <v>51</v>
      </c>
      <c r="F80" s="11">
        <f>SUM(F76:F79)</f>
        <v>1629.96</v>
      </c>
      <c r="G80" s="11">
        <f>SUM(G76:G79)</f>
        <v>329.46</v>
      </c>
      <c r="H80" s="12">
        <f>IFERROR(G80/F80,"")</f>
        <v>0.20212765957446807</v>
      </c>
    </row>
    <row r="81" spans="1:11">
      <c r="B81" s="5" t="s">
        <v>20</v>
      </c>
      <c r="E81" s="16">
        <f>IFERROR((E80-('V40'!E80))/('V40'!E80),"")</f>
        <v>-0.43956043956043955</v>
      </c>
      <c r="F81" s="16">
        <f>IFERROR((F80-('V40'!F80))/('V40'!F80),"")</f>
        <v>-0.43925195062543865</v>
      </c>
      <c r="G81" s="16">
        <f>IFERROR((G80-('V40'!G80))/('V40'!G80),"")</f>
        <v>-0.4380309077883533</v>
      </c>
      <c r="H81" s="16">
        <f>IFERROR(H80-('V40'!H80),"")</f>
        <v>4.3918168155640536E-4</v>
      </c>
    </row>
    <row r="82" spans="1:11">
      <c r="B82" s="5" t="s">
        <v>21</v>
      </c>
      <c r="E82" s="13">
        <f>E80/$B$112</f>
        <v>3.247787047061071E-3</v>
      </c>
      <c r="F82" s="13">
        <f>F80/$B$112</f>
        <v>0.10379927402407184</v>
      </c>
      <c r="G82" s="13">
        <f>G80/$B$112</f>
        <v>2.0980704324014519E-2</v>
      </c>
    </row>
    <row r="83" spans="1:11">
      <c r="B83" s="5" t="s">
        <v>22</v>
      </c>
      <c r="E83" s="8">
        <f>IFERROR((E82-'V40'!E82)/'V40'!E82,"")</f>
        <v>-0.33602384369753668</v>
      </c>
      <c r="F83" s="8">
        <f>IFERROR((F82-'V40'!F82)/'V40'!F82,"")</f>
        <v>-0.33565836397093934</v>
      </c>
      <c r="G83" s="8">
        <f>IFERROR((G82-'V40'!G82)/'V40'!G82,"")</f>
        <v>-0.33421174351999777</v>
      </c>
    </row>
    <row r="84" spans="1:11">
      <c r="B84" s="5" t="s">
        <v>23</v>
      </c>
      <c r="E84" s="18">
        <f>(E82 / AVERAGE('V26'!E82,'V27'!E82,'V28'!E82,'V29'!E82,'V30'!E82,'V31'!E82,'V32'!E82,'V33'!E82,'V34'!E82,'V35'!E82,'V36'!E82,'V37'!E82,'V38'!E82,'V39'!E82,'V40'!E82)) * 100</f>
        <v>69.569511901442979</v>
      </c>
      <c r="F84" s="18">
        <f>(F82 / AVERAGE('V26'!F82,'V27'!F82,'V28'!F82,'V29'!F82,'V30'!F82,'V31'!F82,'V32'!F82,'V33'!F82,'V34'!F82,'V35'!F82,'V36'!F82,'V37'!F82,'V38'!F82,'V39'!F82,'V40'!F82)) * 100</f>
        <v>87.895987630973266</v>
      </c>
      <c r="G84" s="18">
        <f>(G82 / AVERAGE('V26'!G82,'V27'!G82,'V28'!G82,'V29'!G82,'V30'!G82,'V31'!G82,'V32'!G82,'V33'!G82,'V34'!G82,'V35'!G82,'V36'!G82,'V37'!G82,'V38'!G82,'V39'!G82,'V40'!G82)) * 100</f>
        <v>82.84670469384659</v>
      </c>
      <c r="H84" s="14">
        <f>IFERROR((G84*0.6)+(F84*0.4),"")</f>
        <v>84.866417868697255</v>
      </c>
    </row>
    <row r="85" spans="1:11">
      <c r="A85" s="1">
        <v>9</v>
      </c>
      <c r="C85" s="2" t="s">
        <v>73</v>
      </c>
      <c r="D85" s="2" t="s">
        <v>5</v>
      </c>
      <c r="E85" s="2" t="s">
        <v>6</v>
      </c>
      <c r="F85" s="2" t="s">
        <v>7</v>
      </c>
      <c r="G85" s="2" t="s">
        <v>8</v>
      </c>
      <c r="H85" s="2" t="s">
        <v>9</v>
      </c>
      <c r="I85" s="2" t="s">
        <v>10</v>
      </c>
      <c r="J85" s="2" t="s">
        <v>11</v>
      </c>
      <c r="K85" s="2" t="s">
        <v>12</v>
      </c>
    </row>
    <row r="86" spans="1:11">
      <c r="B86" s="6" t="s">
        <v>74</v>
      </c>
      <c r="C86" s="2" t="s">
        <v>75</v>
      </c>
      <c r="D86" s="5" t="s">
        <v>76</v>
      </c>
      <c r="E86" s="7">
        <v>228</v>
      </c>
      <c r="F86" s="7">
        <v>8208</v>
      </c>
      <c r="G86" s="7">
        <v>1200.06</v>
      </c>
      <c r="H86" s="8">
        <f>IFERROR(G86/F86,"")</f>
        <v>0.14620614035087717</v>
      </c>
      <c r="I86" s="18">
        <f>IFERROR(((E86/$B$112) / AVERAGE('V27'!E86/'V27'!$B$112, 'V28'!E86/'V28'!$B$112, 'V29'!E86/'V29'!$B$112, 'V30'!E86/'V30'!$B$112, 'V31'!E86/'V31'!$B$112, 'V32'!E86/'V32'!$B$112, 'V33'!E86/'V33'!$B$112, 'V34'!E86/'V34'!$B$112, 'V35'!E86/'V35'!$B$112, 'V36'!E86/'V36'!$B$112, 'V37'!E86/'V37'!$B$112, 'V38'!E86/'V38'!$B$112, 'V39'!E86/'V39'!$B$112, 'V40'!E86/'V40'!$B$112)) * 100,"")</f>
        <v>112.03145873121736</v>
      </c>
      <c r="J86" s="18">
        <f>IFERROR(((F86/$B$112) / AVERAGE('V27'!F86/'V27'!$B$112, 'V28'!F86/'V28'!$B$112, 'V29'!F86/'V29'!$B$112, 'V30'!F86/'V30'!$B$112, 'V31'!F86/'V31'!$B$112, 'V32'!F86/'V32'!$B$112, 'V33'!F86/'V33'!$B$112, 'V34'!F86/'V34'!$B$112, 'V35'!F86/'V35'!$B$112, 'V36'!F86/'V36'!$B$112, 'V37'!F86/'V37'!$B$112, 'V38'!F86/'V38'!$B$112, 'V39'!F86/'V39'!$B$112, 'V40'!F86/'V40'!$B$112)) * 100,"")</f>
        <v>112.04342235483844</v>
      </c>
      <c r="K86" s="18">
        <f>IFERROR(((G86/$B$112) / AVERAGE('V27'!G86/'V27'!$B$112, 'V28'!G86/'V28'!$B$112, 'V29'!G86/'V29'!$B$112, 'V30'!G86/'V30'!$B$112, 'V31'!G86/'V31'!$B$112, 'V32'!G86/'V32'!$B$112, 'V33'!G86/'V33'!$B$112, 'V34'!G86/'V34'!$B$112, 'V35'!G86/'V35'!$B$112, 'V36'!G86/'V36'!$B$112, 'V37'!G86/'V37'!$B$112, 'V38'!G86/'V38'!$B$112, 'V39'!G86/'V39'!$B$112, 'V40'!G86/'V40'!$B$112)) * 100,"")</f>
        <v>98.014202845943103</v>
      </c>
    </row>
    <row r="87" spans="1:11">
      <c r="C87" s="2" t="s">
        <v>77</v>
      </c>
    </row>
    <row r="88" spans="1:11">
      <c r="C88" s="2" t="s">
        <v>78</v>
      </c>
    </row>
    <row r="89" spans="1:11">
      <c r="C89" s="2" t="s">
        <v>79</v>
      </c>
    </row>
    <row r="90" spans="1:11">
      <c r="C90" s="9" t="s">
        <v>19</v>
      </c>
      <c r="D90" s="10"/>
      <c r="E90" s="11">
        <f>SUM(E86:E89)</f>
        <v>228</v>
      </c>
      <c r="F90" s="11">
        <f>SUM(F86:F89)</f>
        <v>8208</v>
      </c>
      <c r="G90" s="11">
        <f>SUM(G86:G89)</f>
        <v>1200.06</v>
      </c>
      <c r="H90" s="12">
        <f>IFERROR(G90/F90,"")</f>
        <v>0.14620614035087717</v>
      </c>
    </row>
    <row r="91" spans="1:11">
      <c r="B91" s="5" t="s">
        <v>20</v>
      </c>
      <c r="E91" s="16">
        <f>IFERROR((E90-('V40'!E90))/('V40'!E90),"")</f>
        <v>-9.8814229249011856E-2</v>
      </c>
      <c r="F91" s="16">
        <f>IFERROR((F90-('V40'!F90))/('V40'!F90),"")</f>
        <v>-9.8814229249011856E-2</v>
      </c>
      <c r="G91" s="16">
        <f>IFERROR((G90-('V40'!G90))/('V40'!G90),"")</f>
        <v>-0.21207306343807861</v>
      </c>
      <c r="H91" s="16">
        <f>IFERROR(H90-('V40'!H90),"")</f>
        <v>-2.1016081871345044E-2</v>
      </c>
    </row>
    <row r="92" spans="1:11">
      <c r="B92" s="5" t="s">
        <v>21</v>
      </c>
      <c r="E92" s="13">
        <f>E90/$B$112</f>
        <v>1.4519518563331847E-2</v>
      </c>
      <c r="F92" s="13">
        <f>F90/$B$112</f>
        <v>0.52270266827994649</v>
      </c>
      <c r="G92" s="13">
        <f>G90/$B$112</f>
        <v>7.6422339680315865E-2</v>
      </c>
    </row>
    <row r="93" spans="1:11">
      <c r="B93" s="5" t="s">
        <v>22</v>
      </c>
      <c r="E93" s="8">
        <f>IFERROR((E92-'V40'!E92)/'V40'!E92,"")</f>
        <v>6.7672424317097565E-2</v>
      </c>
      <c r="F93" s="8">
        <f>IFERROR((F92-'V40'!F92)/'V40'!F92,"")</f>
        <v>6.7672424317097579E-2</v>
      </c>
      <c r="G93" s="8">
        <f>IFERROR((G92-'V40'!G92)/'V40'!G92,"")</f>
        <v>-6.6510047264981997E-2</v>
      </c>
    </row>
    <row r="94" spans="1:11">
      <c r="B94" s="5" t="s">
        <v>23</v>
      </c>
      <c r="E94" s="18">
        <f>(E92 / AVERAGE('V26'!E92,'V27'!E92,'V28'!E92,'V29'!E92,'V30'!E92,'V31'!E92,'V32'!E92,'V33'!E92,'V34'!E92,'V35'!E92,'V36'!E92,'V37'!E92,'V38'!E92,'V39'!E92,'V40'!E92)) * 100</f>
        <v>113.12430117155591</v>
      </c>
      <c r="F94" s="18">
        <f>(F92 / AVERAGE('V26'!F92,'V27'!F92,'V28'!F92,'V29'!F92,'V30'!F92,'V31'!F92,'V32'!F92,'V33'!F92,'V34'!F92,'V35'!F92,'V36'!F92,'V37'!F92,'V38'!F92,'V39'!F92,'V40'!F92)) * 100</f>
        <v>113.13568605753915</v>
      </c>
      <c r="G94" s="18">
        <f>(G92 / AVERAGE('V26'!G92,'V27'!G92,'V28'!G92,'V29'!G92,'V30'!G92,'V31'!G92,'V32'!G92,'V33'!G92,'V34'!G92,'V35'!G92,'V36'!G92,'V37'!G92,'V38'!G92,'V39'!G92,'V40'!G92)) * 100</f>
        <v>98.966670140619257</v>
      </c>
      <c r="H94" s="14">
        <f>IFERROR((G94*0.6)+(F94*0.4),"")</f>
        <v>104.63427650738721</v>
      </c>
    </row>
    <row r="95" spans="1:11">
      <c r="A95" s="1">
        <v>10</v>
      </c>
      <c r="C95" s="2" t="s">
        <v>80</v>
      </c>
      <c r="D95" s="2" t="s">
        <v>5</v>
      </c>
      <c r="E95" s="2" t="s">
        <v>6</v>
      </c>
      <c r="F95" s="2" t="s">
        <v>7</v>
      </c>
      <c r="G95" s="2" t="s">
        <v>8</v>
      </c>
      <c r="H95" s="2" t="s">
        <v>9</v>
      </c>
      <c r="I95" s="2" t="s">
        <v>10</v>
      </c>
      <c r="J95" s="2" t="s">
        <v>11</v>
      </c>
      <c r="K95" s="2" t="s">
        <v>12</v>
      </c>
    </row>
    <row r="96" spans="1:11">
      <c r="B96" s="6" t="s">
        <v>137</v>
      </c>
      <c r="C96" s="2" t="s">
        <v>82</v>
      </c>
      <c r="D96" s="5" t="s">
        <v>83</v>
      </c>
      <c r="E96" s="7">
        <v>234</v>
      </c>
      <c r="F96" s="7">
        <v>8424</v>
      </c>
      <c r="G96" s="7">
        <v>1086.2</v>
      </c>
      <c r="H96" s="8">
        <f>IFERROR(G96/F96,"")</f>
        <v>0.12894112060778729</v>
      </c>
      <c r="I96" s="18">
        <f>IFERROR(((E96/$B$112) / AVERAGE('V27'!E96/'V27'!$B$112, 'V28'!E96/'V28'!$B$112, 'V29'!E96/'V29'!$B$112, 'V30'!E96/'V30'!$B$112, 'V31'!E96/'V31'!$B$112, 'V32'!E96/'V32'!$B$112, 'V33'!E96/'V33'!$B$112, 'V34'!E96/'V34'!$B$112, 'V35'!E96/'V35'!$B$112, 'V36'!E96/'V36'!$B$112, 'V37'!E96/'V37'!$B$112, 'V38'!E96/'V38'!$B$112, 'V39'!E96/'V39'!$B$112, 'V40'!E96/'V40'!$B$112)) * 100,"")</f>
        <v>100.03815966241791</v>
      </c>
      <c r="J96" s="18">
        <f>IFERROR(((F96/$B$112) / AVERAGE('V27'!F96/'V27'!$B$112, 'V28'!F96/'V28'!$B$112, 'V29'!F96/'V29'!$B$112, 'V30'!F96/'V30'!$B$112, 'V31'!F96/'V31'!$B$112, 'V32'!F96/'V32'!$B$112, 'V33'!F96/'V33'!$B$112, 'V34'!F96/'V34'!$B$112, 'V35'!F96/'V35'!$B$112, 'V36'!F96/'V36'!$B$112, 'V37'!F96/'V37'!$B$112, 'V38'!F96/'V38'!$B$112, 'V39'!F96/'V39'!$B$112, 'V40'!F96/'V40'!$B$112)) * 100,"")</f>
        <v>100.06848770397471</v>
      </c>
      <c r="K96" s="18">
        <f>IFERROR(((G96/$B$112) / AVERAGE('V27'!G96/'V27'!$B$112, 'V28'!G96/'V28'!$B$112, 'V29'!G96/'V29'!$B$112, 'V30'!G96/'V30'!$B$112, 'V31'!G96/'V31'!$B$112, 'V32'!G96/'V32'!$B$112, 'V33'!G96/'V33'!$B$112, 'V34'!G96/'V34'!$B$112, 'V35'!G96/'V35'!$B$112, 'V36'!G96/'V36'!$B$112, 'V37'!G96/'V37'!$B$112, 'V38'!G96/'V38'!$B$112, 'V39'!G96/'V39'!$B$112, 'V40'!G96/'V40'!$B$112)) * 100,"")</f>
        <v>79.280568929333356</v>
      </c>
    </row>
    <row r="97" spans="2:8">
      <c r="C97" s="2" t="s">
        <v>84</v>
      </c>
    </row>
    <row r="98" spans="2:8">
      <c r="C98" s="2" t="s">
        <v>85</v>
      </c>
    </row>
    <row r="99" spans="2:8">
      <c r="C99" s="2" t="s">
        <v>86</v>
      </c>
    </row>
    <row r="100" spans="2:8">
      <c r="C100" s="9" t="s">
        <v>19</v>
      </c>
      <c r="D100" s="10"/>
      <c r="E100" s="11">
        <f>SUM(E96:E99)</f>
        <v>234</v>
      </c>
      <c r="F100" s="11">
        <f>SUM(F96:F99)</f>
        <v>8424</v>
      </c>
      <c r="G100" s="11">
        <f>SUM(G96:G99)</f>
        <v>1086.2</v>
      </c>
      <c r="H100" s="12">
        <f>IFERROR(G100/F100,"")</f>
        <v>0.12894112060778729</v>
      </c>
    </row>
    <row r="101" spans="2:8">
      <c r="B101" s="5" t="s">
        <v>20</v>
      </c>
      <c r="E101" s="16">
        <f>IFERROR((E100-('V40'!E100))/('V40'!E100),"")</f>
        <v>-5.6451612903225805E-2</v>
      </c>
      <c r="F101" s="16">
        <f>IFERROR((F100-('V40'!F100))/('V40'!F100),"")</f>
        <v>-5.6451612903225805E-2</v>
      </c>
      <c r="G101" s="16">
        <f>IFERROR((G100-('V40'!G100))/('V40'!G100),"")</f>
        <v>-0.13722437567516044</v>
      </c>
      <c r="H101" s="16">
        <f>IFERROR(H100-('V40'!H100),"")</f>
        <v>-1.2071424195080116E-2</v>
      </c>
    </row>
    <row r="102" spans="2:8">
      <c r="B102" s="5" t="s">
        <v>21</v>
      </c>
      <c r="E102" s="13">
        <f>E100/$B$112</f>
        <v>1.4901611157103738E-2</v>
      </c>
      <c r="F102" s="13">
        <f>F100/$B$112</f>
        <v>0.53645800165573454</v>
      </c>
      <c r="G102" s="13">
        <f>G100/$B$112</f>
        <v>6.9171495892504625E-2</v>
      </c>
    </row>
    <row r="103" spans="2:8">
      <c r="B103" s="5" t="s">
        <v>22</v>
      </c>
      <c r="E103" s="8">
        <f>IFERROR((E102-'V40'!E102)/'V40'!E102,"")</f>
        <v>0.11786118534983051</v>
      </c>
      <c r="F103" s="8">
        <f>IFERROR((F102-'V40'!F102)/'V40'!F102,"")</f>
        <v>0.11786118534983034</v>
      </c>
      <c r="G103" s="8">
        <f>IFERROR((G102-'V40'!G102)/'V40'!G102,"")</f>
        <v>2.2166319489226094E-2</v>
      </c>
    </row>
    <row r="104" spans="2:8">
      <c r="B104" s="5" t="s">
        <v>23</v>
      </c>
      <c r="E104" s="18">
        <f>(E102 / AVERAGE('V26'!E102,'V27'!E102,'V28'!E102,'V29'!E102,'V30'!E102,'V31'!E102,'V32'!E102,'V33'!E102,'V34'!E102,'V35'!E102,'V36'!E102,'V37'!E102,'V38'!E102,'V39'!E102,'V40'!E102)) * 100</f>
        <v>101.74963375101078</v>
      </c>
      <c r="F104" s="18">
        <f>(F102 / AVERAGE('V26'!F102,'V27'!F102,'V28'!F102,'V29'!F102,'V30'!F102,'V31'!F102,'V32'!F102,'V33'!F102,'V34'!F102,'V35'!F102,'V36'!F102,'V37'!F102,'V38'!F102,'V39'!F102,'V40'!F102)) * 100</f>
        <v>101.7802002839737</v>
      </c>
      <c r="G104" s="18">
        <f>(G102 / AVERAGE('V26'!G102,'V27'!G102,'V28'!G102,'V29'!G102,'V30'!G102,'V31'!G102,'V32'!G102,'V33'!G102,'V34'!G102,'V35'!G102,'V36'!G102,'V37'!G102,'V38'!G102,'V39'!G102,'V40'!G102)) * 100</f>
        <v>80.529707099420847</v>
      </c>
      <c r="H104" s="14">
        <f>IFERROR((G104*0.6)+(F104*0.4),"")</f>
        <v>89.029904373241976</v>
      </c>
    </row>
    <row r="106" spans="2:8">
      <c r="B106" s="2" t="s">
        <v>87</v>
      </c>
      <c r="E106" s="15">
        <f>E10+E20+E30+E40+E50+E60+E70+E80+E90+E100</f>
        <v>2092</v>
      </c>
      <c r="F106" s="15">
        <f>F10+F20+F30+F40+F50+F60+F70+F80+F90+F100</f>
        <v>72013.179999999993</v>
      </c>
      <c r="G106" s="15">
        <f>G10+G20+G30+G40+G50+G60+G70+G80+G90+G100</f>
        <v>15729.509999999998</v>
      </c>
      <c r="H106" s="16">
        <f>IFERROR(G106/F106,"")</f>
        <v>0.21842543267774037</v>
      </c>
    </row>
    <row r="107" spans="2:8">
      <c r="B107" s="5" t="s">
        <v>88</v>
      </c>
      <c r="E107" s="16">
        <f>IFERROR((E106-'V40'!E106)/'V40'!E106,"")</f>
        <v>-0.16487025948103792</v>
      </c>
      <c r="F107" s="16">
        <f>IFERROR((F106-'V40'!F106)/'V40'!F106,"")</f>
        <v>-0.13360765673657987</v>
      </c>
      <c r="G107" s="16">
        <f>IFERROR((G106-'V40'!G106)/'V40'!G106,"")</f>
        <v>-0.16286618427523147</v>
      </c>
      <c r="H107" s="16">
        <f>IFERROR(H106-'V40'!H106,"")</f>
        <v>-7.6341516936698772E-3</v>
      </c>
    </row>
    <row r="108" spans="2:8">
      <c r="B108" s="5" t="s">
        <v>21</v>
      </c>
      <c r="E108" s="13">
        <f>E106/$B$112</f>
        <v>0.1332229510284659</v>
      </c>
      <c r="F108" s="13">
        <f>F106/$B$112</f>
        <v>4.5859504553270067</v>
      </c>
      <c r="G108" s="13">
        <f>G106/$B$112</f>
        <v>1.0016882124434821</v>
      </c>
    </row>
    <row r="109" spans="2:8">
      <c r="B109" s="5" t="s">
        <v>22</v>
      </c>
      <c r="E109" s="8">
        <f>IFERROR((E108-'V40'!E108)/'V40'!E108,"")</f>
        <v>-1.0586913798970272E-2</v>
      </c>
      <c r="F109" s="8">
        <f>IFERROR((F108-'V40'!F108)/'V40'!F108,"")</f>
        <v>2.6451197482816484E-2</v>
      </c>
      <c r="G109" s="8">
        <f>IFERROR((G108-'V40'!G108)/'V40'!G108,"")</f>
        <v>-8.2126021942563656E-3</v>
      </c>
    </row>
    <row r="110" spans="2:8">
      <c r="B110" s="5" t="s">
        <v>23</v>
      </c>
      <c r="E110" s="18">
        <f>IFERROR((E108 / AVERAGE('V26'!E108,'V27'!E108,'V28'!E108,'V29'!E108,'V30'!E108,'V31'!E108,'V32'!E108,'V33'!E108,'V34'!E108,'V35'!E108,'V36'!E108,'V37'!E108,'V38'!E108,'V39'!E108,'V40'!E108)) * 100,"")</f>
        <v>95.661069267778359</v>
      </c>
      <c r="F110" s="18">
        <f>IFERROR((F108 / AVERAGE('V26'!F108,'V27'!F108,'V28'!F108,'V29'!F108,'V30'!F108,'V31'!F108,'V32'!F108,'V33'!F108,'V34'!F108,'V35'!F108,'V36'!F108,'V37'!F108,'V38'!F108,'V39'!F108,'V40'!F108)) * 100,"")</f>
        <v>98.797861663004909</v>
      </c>
      <c r="G110" s="18">
        <f>IFERROR((G108 / AVERAGE('V26'!G108,'V27'!G108,'V28'!G108,'V29'!G108,'V30'!G108,'V31'!G108,'V32'!G108,'V33'!G108,'V34'!G108,'V35'!G108,'V36'!G108,'V37'!G108,'V38'!G108,'V39'!G108,'V40'!G108)) * 100,"")</f>
        <v>113.05574624023865</v>
      </c>
      <c r="H110" s="14">
        <f>IFERROR((G110*0.6)+(F110*0.4),"")</f>
        <v>107.35259240934515</v>
      </c>
    </row>
    <row r="111" spans="2:8">
      <c r="B111" s="5" t="s">
        <v>89</v>
      </c>
      <c r="C111" s="5" t="s">
        <v>90</v>
      </c>
      <c r="D111" s="5" t="s">
        <v>91</v>
      </c>
    </row>
    <row r="112" spans="2:8">
      <c r="B112" s="17">
        <v>15703</v>
      </c>
      <c r="C112" s="17">
        <f>B112-'V40'!$B$112</f>
        <v>-2901</v>
      </c>
      <c r="D112" s="19">
        <f>C112/'V40'!$B$112</f>
        <v>-0.1559342076972694</v>
      </c>
    </row>
  </sheetData>
  <conditionalFormatting sqref="E11:G11">
    <cfRule type="cellIs" dxfId="43" priority="1" operator="lessThan">
      <formula>0</formula>
    </cfRule>
    <cfRule type="cellIs" dxfId="42" priority="2" operator="greaterThan">
      <formula>0</formula>
    </cfRule>
  </conditionalFormatting>
  <conditionalFormatting sqref="E21:G21">
    <cfRule type="cellIs" dxfId="41" priority="3" operator="lessThan">
      <formula>0</formula>
    </cfRule>
    <cfRule type="cellIs" dxfId="40" priority="4" operator="greaterThan">
      <formula>0</formula>
    </cfRule>
  </conditionalFormatting>
  <conditionalFormatting sqref="E31:G31">
    <cfRule type="cellIs" dxfId="39" priority="5" operator="lessThan">
      <formula>0</formula>
    </cfRule>
    <cfRule type="cellIs" dxfId="38" priority="6" operator="greaterThan">
      <formula>0</formula>
    </cfRule>
  </conditionalFormatting>
  <conditionalFormatting sqref="E41:G41">
    <cfRule type="cellIs" dxfId="37" priority="7" operator="lessThan">
      <formula>0</formula>
    </cfRule>
    <cfRule type="cellIs" dxfId="36" priority="8" operator="greaterThan">
      <formula>0</formula>
    </cfRule>
  </conditionalFormatting>
  <conditionalFormatting sqref="E51:G51">
    <cfRule type="cellIs" dxfId="35" priority="9" operator="lessThan">
      <formula>0</formula>
    </cfRule>
    <cfRule type="cellIs" dxfId="34" priority="10" operator="greaterThan">
      <formula>0</formula>
    </cfRule>
  </conditionalFormatting>
  <conditionalFormatting sqref="E61:G61">
    <cfRule type="cellIs" dxfId="33" priority="11" operator="lessThan">
      <formula>0</formula>
    </cfRule>
    <cfRule type="cellIs" dxfId="32" priority="12" operator="greaterThan">
      <formula>0</formula>
    </cfRule>
  </conditionalFormatting>
  <conditionalFormatting sqref="E71:G71">
    <cfRule type="cellIs" dxfId="31" priority="13" operator="lessThan">
      <formula>0</formula>
    </cfRule>
    <cfRule type="cellIs" dxfId="30" priority="14" operator="greaterThan">
      <formula>0</formula>
    </cfRule>
  </conditionalFormatting>
  <conditionalFormatting sqref="E81:G81">
    <cfRule type="cellIs" dxfId="29" priority="15" operator="lessThan">
      <formula>0</formula>
    </cfRule>
    <cfRule type="cellIs" dxfId="28" priority="16" operator="greaterThan">
      <formula>0</formula>
    </cfRule>
  </conditionalFormatting>
  <conditionalFormatting sqref="E91:G91">
    <cfRule type="cellIs" dxfId="27" priority="17" operator="lessThan">
      <formula>0</formula>
    </cfRule>
    <cfRule type="cellIs" dxfId="26" priority="18" operator="greaterThan">
      <formula>0</formula>
    </cfRule>
  </conditionalFormatting>
  <conditionalFormatting sqref="E101:G101">
    <cfRule type="cellIs" dxfId="25" priority="19" operator="lessThan">
      <formula>0</formula>
    </cfRule>
    <cfRule type="cellIs" dxfId="24" priority="20" operator="greaterThan">
      <formula>0</formula>
    </cfRule>
  </conditionalFormatting>
  <conditionalFormatting sqref="E107:G107">
    <cfRule type="cellIs" dxfId="23" priority="21" operator="lessThan">
      <formula>0</formula>
    </cfRule>
    <cfRule type="cellIs" dxfId="22" priority="22" operator="greaterThan">
      <formula>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112"/>
  <sheetViews>
    <sheetView zoomScaleNormal="100" zoomScaleSheetLayoutView="100" workbookViewId="0"/>
  </sheetViews>
  <sheetFormatPr defaultRowHeight="15"/>
  <cols>
    <col min="2" max="2" width="16" customWidth="1"/>
    <col min="4" max="4" width="26" customWidth="1"/>
    <col min="5" max="5" width="10" customWidth="1"/>
    <col min="6" max="7" width="12" customWidth="1"/>
    <col min="8" max="8" width="10" customWidth="1"/>
    <col min="9" max="11" width="12" customWidth="1"/>
  </cols>
  <sheetData>
    <row r="1" spans="1:11">
      <c r="A1" s="1" t="s">
        <v>0</v>
      </c>
    </row>
    <row r="3" spans="1:11">
      <c r="C3" s="2" t="s">
        <v>144</v>
      </c>
    </row>
    <row r="4" spans="1:11">
      <c r="C4" s="3" t="s">
        <v>145</v>
      </c>
      <c r="I4" s="4">
        <v>42</v>
      </c>
      <c r="J4" s="5" t="s">
        <v>3</v>
      </c>
    </row>
    <row r="5" spans="1:11">
      <c r="A5" s="1">
        <v>1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  <c r="K5" s="2" t="s">
        <v>12</v>
      </c>
    </row>
    <row r="6" spans="1:11">
      <c r="B6" s="6" t="s">
        <v>132</v>
      </c>
      <c r="C6" s="2" t="s">
        <v>14</v>
      </c>
      <c r="D6" s="5" t="s">
        <v>133</v>
      </c>
      <c r="E6" s="7">
        <v>110</v>
      </c>
      <c r="F6" s="7">
        <v>8704.08</v>
      </c>
      <c r="G6" s="7">
        <v>1896.18</v>
      </c>
      <c r="H6" s="8">
        <f>IFERROR(G6/F6,"")</f>
        <v>0.21784956020624813</v>
      </c>
      <c r="I6" s="18">
        <f>IFERROR(((E6/$B$112) / AVERAGE('V28'!E6/'V28'!$B$112, 'V29'!E6/'V29'!$B$112, 'V30'!E6/'V30'!$B$112, 'V31'!E6/'V31'!$B$112, 'V32'!E6/'V32'!$B$112, 'V33'!E6/'V33'!$B$112, 'V34'!E6/'V34'!$B$112, 'V35'!E6/'V35'!$B$112, 'V36'!E6/'V36'!$B$112, 'V37'!E6/'V37'!$B$112, 'V38'!E6/'V38'!$B$112, 'V39'!E6/'V39'!$B$112, 'V40'!E6/'V40'!$B$112, 'V41'!E6/'V41'!$B$112)) * 100,"")</f>
        <v>93.043209422549552</v>
      </c>
      <c r="J6" s="18">
        <f>IFERROR(((F6/$B$112) / AVERAGE('V28'!F6/'V28'!$B$112, 'V29'!F6/'V29'!$B$112, 'V30'!F6/'V30'!$B$112, 'V31'!F6/'V31'!$B$112, 'V32'!F6/'V32'!$B$112, 'V33'!F6/'V33'!$B$112, 'V34'!F6/'V34'!$B$112, 'V35'!F6/'V35'!$B$112, 'V36'!F6/'V36'!$B$112, 'V37'!F6/'V37'!$B$112, 'V38'!F6/'V38'!$B$112, 'V39'!F6/'V39'!$B$112, 'V40'!F6/'V40'!$B$112, 'V41'!F6/'V41'!$B$112)) * 100,"")</f>
        <v>96.7932432775211</v>
      </c>
      <c r="K6" s="18">
        <f>IFERROR(((G6/$B$112) / AVERAGE('V28'!G6/'V28'!$B$112, 'V29'!G6/'V29'!$B$112, 'V30'!G6/'V30'!$B$112, 'V31'!G6/'V31'!$B$112, 'V32'!G6/'V32'!$B$112, 'V33'!G6/'V33'!$B$112, 'V34'!G6/'V34'!$B$112, 'V35'!G6/'V35'!$B$112, 'V36'!G6/'V36'!$B$112, 'V37'!G6/'V37'!$B$112, 'V38'!G6/'V38'!$B$112, 'V39'!G6/'V39'!$B$112, 'V40'!G6/'V40'!$B$112, 'V41'!G6/'V41'!$B$112)) * 100,"")</f>
        <v>97.646216586080428</v>
      </c>
    </row>
    <row r="7" spans="1:11">
      <c r="C7" s="2" t="s">
        <v>16</v>
      </c>
    </row>
    <row r="8" spans="1:11">
      <c r="C8" s="2" t="s">
        <v>17</v>
      </c>
    </row>
    <row r="9" spans="1:11">
      <c r="C9" s="2" t="s">
        <v>18</v>
      </c>
    </row>
    <row r="10" spans="1:11">
      <c r="C10" s="9" t="s">
        <v>19</v>
      </c>
      <c r="D10" s="10"/>
      <c r="E10" s="11">
        <f>SUM(E6:E9)</f>
        <v>110</v>
      </c>
      <c r="F10" s="11">
        <f>SUM(F6:F9)</f>
        <v>8704.08</v>
      </c>
      <c r="G10" s="11">
        <f>SUM(G6:G9)</f>
        <v>1896.18</v>
      </c>
      <c r="H10" s="12">
        <f>IFERROR(G10/F10,"")</f>
        <v>0.21784956020624813</v>
      </c>
    </row>
    <row r="11" spans="1:11">
      <c r="B11" s="5" t="s">
        <v>20</v>
      </c>
      <c r="E11" s="16">
        <f>IFERROR((E10-('V41'!E10))/('V41'!E10),"")</f>
        <v>-0.12698412698412698</v>
      </c>
      <c r="F11" s="16">
        <f>IFERROR((F10-('V41'!F10))/('V41'!F10),"")</f>
        <v>-0.12743152044462086</v>
      </c>
      <c r="G11" s="16">
        <f>IFERROR((G10-('V41'!G10))/('V41'!G10),"")</f>
        <v>-0.12903403610307282</v>
      </c>
      <c r="H11" s="16">
        <f>IFERROR(H10-('V41'!H10),"")</f>
        <v>-4.0082775434230333E-4</v>
      </c>
    </row>
    <row r="12" spans="1:11">
      <c r="B12" s="5" t="s">
        <v>21</v>
      </c>
      <c r="E12" s="13">
        <f>E10/$B$112</f>
        <v>6.9624659788594216E-3</v>
      </c>
      <c r="F12" s="13">
        <f>F10/$B$112</f>
        <v>0.55092600797518831</v>
      </c>
      <c r="G12" s="13">
        <f>G10/$B$112</f>
        <v>0.12001898854357872</v>
      </c>
    </row>
    <row r="13" spans="1:11">
      <c r="B13" s="5" t="s">
        <v>22</v>
      </c>
      <c r="E13" s="8">
        <f>IFERROR((E12-'V41'!E12)/'V41'!E12,"")</f>
        <v>-0.13228886296801992</v>
      </c>
      <c r="F13" s="8">
        <f>IFERROR((F12-'V41'!F12)/'V41'!F12,"")</f>
        <v>-0.13273353791644282</v>
      </c>
      <c r="G13" s="8">
        <f>IFERROR((G12-'V41'!G12)/'V41'!G12,"")</f>
        <v>-0.13432631615460161</v>
      </c>
    </row>
    <row r="14" spans="1:11">
      <c r="B14" s="5" t="s">
        <v>23</v>
      </c>
      <c r="E14" s="18">
        <f>(E12 / AVERAGE('V27'!E12,'V28'!E12,'V29'!E12,'V30'!E12,'V31'!E12,'V32'!E12,'V33'!E12,'V34'!E12,'V35'!E12,'V36'!E12,'V37'!E12,'V38'!E12,'V39'!E12,'V40'!E12,'V41'!E12)) * 100</f>
        <v>95.877269037115894</v>
      </c>
      <c r="F14" s="18">
        <f>(F12 / AVERAGE('V27'!F12,'V28'!F12,'V29'!F12,'V30'!F12,'V31'!F12,'V32'!F12,'V33'!F12,'V34'!F12,'V35'!F12,'V36'!F12,'V37'!F12,'V38'!F12,'V39'!F12,'V40'!F12,'V41'!F12)) * 100</f>
        <v>100.00205816625029</v>
      </c>
      <c r="G14" s="18">
        <f>(G12 / AVERAGE('V27'!G12,'V28'!G12,'V29'!G12,'V30'!G12,'V31'!G12,'V32'!G12,'V33'!G12,'V34'!G12,'V35'!G12,'V36'!G12,'V37'!G12,'V38'!G12,'V39'!G12,'V40'!G12,'V41'!G12)) * 100</f>
        <v>101.79238848725562</v>
      </c>
      <c r="H14" s="14">
        <f>IFERROR((G14*0.6)+(F14*0.4),"")</f>
        <v>101.0762563588535</v>
      </c>
    </row>
    <row r="15" spans="1:11">
      <c r="A15" s="1">
        <v>2</v>
      </c>
      <c r="C15" s="2" t="s">
        <v>24</v>
      </c>
      <c r="D15" s="2" t="s">
        <v>5</v>
      </c>
      <c r="E15" s="2" t="s">
        <v>6</v>
      </c>
      <c r="F15" s="2" t="s">
        <v>7</v>
      </c>
      <c r="G15" s="2" t="s">
        <v>8</v>
      </c>
      <c r="H15" s="2" t="s">
        <v>9</v>
      </c>
      <c r="I15" s="2" t="s">
        <v>10</v>
      </c>
      <c r="J15" s="2" t="s">
        <v>11</v>
      </c>
      <c r="K15" s="2" t="s">
        <v>12</v>
      </c>
    </row>
    <row r="16" spans="1:11">
      <c r="B16" s="6" t="s">
        <v>146</v>
      </c>
      <c r="C16" s="2" t="s">
        <v>26</v>
      </c>
      <c r="D16" s="5" t="s">
        <v>147</v>
      </c>
      <c r="E16" s="7">
        <v>222</v>
      </c>
      <c r="F16" s="7">
        <v>8425.3700000000008</v>
      </c>
      <c r="G16" s="7">
        <v>2145.34</v>
      </c>
      <c r="H16" s="8">
        <f>IFERROR(G16/F16,"")</f>
        <v>0.25462858010983491</v>
      </c>
      <c r="I16" s="18">
        <f>IFERROR(((E16/$B$112) / AVERAGE('V28'!E16/'V28'!$B$112, 'V29'!E16/'V29'!$B$112, 'V30'!E16/'V30'!$B$112, 'V31'!E16/'V31'!$B$112, 'V32'!E16/'V32'!$B$112, 'V33'!E16/'V33'!$B$112, 'V34'!E16/'V34'!$B$112, 'V35'!E16/'V35'!$B$112, 'V36'!E16/'V36'!$B$112, 'V37'!E16/'V37'!$B$112, 'V38'!E16/'V38'!$B$112, 'V39'!E16/'V39'!$B$112, 'V40'!E16/'V40'!$B$112, 'V41'!E16/'V41'!$B$112)) * 100,"")</f>
        <v>124.05409143516897</v>
      </c>
      <c r="J16" s="18">
        <f>IFERROR(((F16/$B$112) / AVERAGE('V28'!F16/'V28'!$B$112, 'V29'!F16/'V29'!$B$112, 'V30'!F16/'V30'!$B$112, 'V31'!F16/'V31'!$B$112, 'V32'!F16/'V32'!$B$112, 'V33'!F16/'V33'!$B$112, 'V34'!F16/'V34'!$B$112, 'V35'!F16/'V35'!$B$112, 'V36'!F16/'V36'!$B$112, 'V37'!F16/'V37'!$B$112, 'V38'!F16/'V38'!$B$112, 'V39'!F16/'V39'!$B$112, 'V40'!F16/'V40'!$B$112, 'V41'!F16/'V41'!$B$112)) * 100,"")</f>
        <v>262.81609151681448</v>
      </c>
      <c r="K16" s="18">
        <f>IFERROR(((G16/$B$112) / AVERAGE('V28'!G16/'V28'!$B$112, 'V29'!G16/'V29'!$B$112, 'V30'!G16/'V30'!$B$112, 'V31'!G16/'V31'!$B$112, 'V32'!G16/'V32'!$B$112, 'V33'!G16/'V33'!$B$112, 'V34'!G16/'V34'!$B$112, 'V35'!G16/'V35'!$B$112, 'V36'!G16/'V36'!$B$112, 'V37'!G16/'V37'!$B$112, 'V38'!G16/'V38'!$B$112, 'V39'!G16/'V39'!$B$112, 'V40'!G16/'V40'!$B$112, 'V41'!G16/'V41'!$B$112)) * 100,"")</f>
        <v>367.17153191517338</v>
      </c>
    </row>
    <row r="17" spans="1:11">
      <c r="C17" s="2" t="s">
        <v>28</v>
      </c>
    </row>
    <row r="18" spans="1:11">
      <c r="C18" s="2" t="s">
        <v>29</v>
      </c>
    </row>
    <row r="19" spans="1:11">
      <c r="C19" s="2" t="s">
        <v>30</v>
      </c>
    </row>
    <row r="20" spans="1:11">
      <c r="C20" s="9" t="s">
        <v>19</v>
      </c>
      <c r="D20" s="10"/>
      <c r="E20" s="11">
        <f>SUM(E16:E19)</f>
        <v>222</v>
      </c>
      <c r="F20" s="11">
        <f>SUM(F16:F19)</f>
        <v>8425.3700000000008</v>
      </c>
      <c r="G20" s="11">
        <f>SUM(G16:G19)</f>
        <v>2145.34</v>
      </c>
      <c r="H20" s="12">
        <f>IFERROR(G20/F20,"")</f>
        <v>0.25462858010983491</v>
      </c>
    </row>
    <row r="21" spans="1:11">
      <c r="B21" s="5" t="s">
        <v>20</v>
      </c>
      <c r="E21" s="16">
        <f>IFERROR((E20-('V41'!E20))/('V41'!E20),"")</f>
        <v>0.76190476190476186</v>
      </c>
      <c r="F21" s="16">
        <f>IFERROR((F20-('V41'!F20))/('V41'!F20),"")</f>
        <v>2.5153458447724835</v>
      </c>
      <c r="G21" s="16">
        <f>IFERROR((G20-('V41'!G20))/('V41'!G20),"")</f>
        <v>2.8179423751134531</v>
      </c>
      <c r="H21" s="16">
        <f>IFERROR(H20-('V41'!H20),"")</f>
        <v>2.0180955419630719E-2</v>
      </c>
    </row>
    <row r="22" spans="1:11">
      <c r="B22" s="5" t="s">
        <v>21</v>
      </c>
      <c r="E22" s="13">
        <f>E20/$B$112</f>
        <v>1.405152224824356E-2</v>
      </c>
      <c r="F22" s="13">
        <f>F20/$B$112</f>
        <v>0.53328501803911643</v>
      </c>
      <c r="G22" s="13">
        <f>G20/$B$112</f>
        <v>0.13578960693714792</v>
      </c>
    </row>
    <row r="23" spans="1:11">
      <c r="B23" s="5" t="s">
        <v>22</v>
      </c>
      <c r="E23" s="8">
        <f>IFERROR((E22-'V41'!E22)/'V41'!E22,"")</f>
        <v>0.75119884019181427</v>
      </c>
      <c r="F23" s="8">
        <f>IFERROR((F22-'V41'!F22)/'V41'!F22,"")</f>
        <v>2.4939854294868216</v>
      </c>
      <c r="G23" s="8">
        <f>IFERROR((G22-'V41'!G22)/'V41'!G22,"")</f>
        <v>2.7947432822587848</v>
      </c>
    </row>
    <row r="24" spans="1:11">
      <c r="B24" s="5" t="s">
        <v>23</v>
      </c>
      <c r="E24" s="18">
        <f>(E22 / AVERAGE('V27'!E22,'V28'!E22,'V29'!E22,'V30'!E22,'V31'!E22,'V32'!E22,'V33'!E22,'V34'!E22,'V35'!E22,'V36'!E22,'V37'!E22,'V38'!E22,'V39'!E22,'V40'!E22,'V41'!E22)) * 100</f>
        <v>125.49839603985819</v>
      </c>
      <c r="F24" s="18">
        <f>(F22 / AVERAGE('V27'!F22,'V28'!F22,'V29'!F22,'V30'!F22,'V31'!F22,'V32'!F22,'V33'!F22,'V34'!F22,'V35'!F22,'V36'!F22,'V37'!F22,'V38'!F22,'V39'!F22,'V40'!F22,'V41'!F22)) * 100</f>
        <v>264.20135669798918</v>
      </c>
      <c r="G24" s="18">
        <f>(G22 / AVERAGE('V27'!G22,'V28'!G22,'V29'!G22,'V30'!G22,'V31'!G22,'V32'!G22,'V33'!G22,'V34'!G22,'V35'!G22,'V36'!G22,'V37'!G22,'V38'!G22,'V39'!G22,'V40'!G22,'V41'!G22)) * 100</f>
        <v>366.84496355127317</v>
      </c>
      <c r="H24" s="14">
        <f>IFERROR((G24*0.6)+(F24*0.4),"")</f>
        <v>325.78752080995957</v>
      </c>
    </row>
    <row r="25" spans="1:11">
      <c r="A25" s="1">
        <v>3</v>
      </c>
      <c r="C25" s="2" t="s">
        <v>31</v>
      </c>
      <c r="D25" s="2" t="s">
        <v>5</v>
      </c>
      <c r="E25" s="2" t="s">
        <v>6</v>
      </c>
      <c r="F25" s="2" t="s">
        <v>7</v>
      </c>
      <c r="G25" s="2" t="s">
        <v>8</v>
      </c>
      <c r="H25" s="2" t="s">
        <v>9</v>
      </c>
      <c r="I25" s="2" t="s">
        <v>10</v>
      </c>
      <c r="J25" s="2" t="s">
        <v>11</v>
      </c>
      <c r="K25" s="2" t="s">
        <v>12</v>
      </c>
    </row>
    <row r="26" spans="1:11">
      <c r="B26" s="6" t="s">
        <v>32</v>
      </c>
      <c r="C26" s="2" t="s">
        <v>33</v>
      </c>
      <c r="D26" s="5" t="s">
        <v>34</v>
      </c>
      <c r="E26" s="7">
        <v>655</v>
      </c>
      <c r="F26" s="7">
        <v>15465.54</v>
      </c>
      <c r="G26" s="7">
        <v>3481.5</v>
      </c>
      <c r="H26" s="8">
        <f>IFERROR(G26/F26,"")</f>
        <v>0.22511338110405454</v>
      </c>
      <c r="I26" s="18">
        <f>IFERROR(((E26/$B$112) / AVERAGE('V28'!E26/'V28'!$B$112, 'V29'!E26/'V29'!$B$112, 'V30'!E26/'V30'!$B$112, 'V31'!E26/'V31'!$B$112, 'V32'!E26/'V32'!$B$112, 'V33'!E26/'V33'!$B$112, 'V34'!E26/'V34'!$B$112, 'V35'!E26/'V35'!$B$112, 'V36'!E26/'V36'!$B$112, 'V37'!E26/'V37'!$B$112, 'V38'!E26/'V38'!$B$112, 'V39'!E26/'V39'!$B$112, 'V40'!E26/'V40'!$B$112, 'V41'!E26/'V41'!$B$112)) * 100,"")</f>
        <v>121.83406991233588</v>
      </c>
      <c r="J26" s="18">
        <f>IFERROR(((F26/$B$112) / AVERAGE('V28'!F26/'V28'!$B$112, 'V29'!F26/'V29'!$B$112, 'V30'!F26/'V30'!$B$112, 'V31'!F26/'V31'!$B$112, 'V32'!F26/'V32'!$B$112, 'V33'!F26/'V33'!$B$112, 'V34'!F26/'V34'!$B$112, 'V35'!F26/'V35'!$B$112, 'V36'!F26/'V36'!$B$112, 'V37'!F26/'V37'!$B$112, 'V38'!F26/'V38'!$B$112, 'V39'!F26/'V39'!$B$112, 'V40'!F26/'V40'!$B$112, 'V41'!F26/'V41'!$B$112)) * 100,"")</f>
        <v>121.75842050417715</v>
      </c>
      <c r="K26" s="18">
        <f>IFERROR(((G26/$B$112) / AVERAGE('V28'!G26/'V28'!$B$112, 'V29'!G26/'V29'!$B$112, 'V30'!G26/'V30'!$B$112, 'V31'!G26/'V31'!$B$112, 'V32'!G26/'V32'!$B$112, 'V33'!G26/'V33'!$B$112, 'V34'!G26/'V34'!$B$112, 'V35'!G26/'V35'!$B$112, 'V36'!G26/'V36'!$B$112, 'V37'!G26/'V37'!$B$112, 'V38'!G26/'V38'!$B$112, 'V39'!G26/'V39'!$B$112, 'V40'!G26/'V40'!$B$112, 'V41'!G26/'V41'!$B$112)) * 100,"")</f>
        <v>124.2906263134048</v>
      </c>
    </row>
    <row r="27" spans="1:11">
      <c r="C27" s="2" t="s">
        <v>35</v>
      </c>
    </row>
    <row r="28" spans="1:11">
      <c r="C28" s="2" t="s">
        <v>36</v>
      </c>
    </row>
    <row r="29" spans="1:11">
      <c r="C29" s="2" t="s">
        <v>37</v>
      </c>
    </row>
    <row r="30" spans="1:11">
      <c r="C30" s="9" t="s">
        <v>19</v>
      </c>
      <c r="D30" s="10"/>
      <c r="E30" s="11">
        <f>SUM(E26:E29)</f>
        <v>655</v>
      </c>
      <c r="F30" s="11">
        <f>SUM(F26:F29)</f>
        <v>15465.54</v>
      </c>
      <c r="G30" s="11">
        <f>SUM(G26:G29)</f>
        <v>3481.5</v>
      </c>
      <c r="H30" s="12">
        <f>IFERROR(G30/F30,"")</f>
        <v>0.22511338110405454</v>
      </c>
    </row>
    <row r="31" spans="1:11">
      <c r="B31" s="5" t="s">
        <v>20</v>
      </c>
      <c r="E31" s="16">
        <f>IFERROR((E30-('V41'!E30))/('V41'!E30),"")</f>
        <v>0.18659420289855072</v>
      </c>
      <c r="F31" s="16">
        <f>IFERROR((F30-('V41'!F30))/('V41'!F30),"")</f>
        <v>0.18609498858811691</v>
      </c>
      <c r="G31" s="16">
        <f>IFERROR((G30-('V41'!G30))/('V41'!G30),"")</f>
        <v>0.18737423689505819</v>
      </c>
      <c r="H31" s="16">
        <f>IFERROR(H30-('V41'!H30),"")</f>
        <v>2.4253171636959281E-4</v>
      </c>
    </row>
    <row r="32" spans="1:11">
      <c r="B32" s="5" t="s">
        <v>21</v>
      </c>
      <c r="E32" s="13">
        <f>E30/$B$112</f>
        <v>4.1458320146844738E-2</v>
      </c>
      <c r="F32" s="13">
        <f>F30/$B$112</f>
        <v>0.97889360086081401</v>
      </c>
      <c r="G32" s="13">
        <f>G30/$B$112</f>
        <v>0.22036204823090069</v>
      </c>
    </row>
    <row r="33" spans="1:11">
      <c r="B33" s="5" t="s">
        <v>22</v>
      </c>
      <c r="E33" s="8">
        <f>IFERROR((E32-'V41'!E32)/'V41'!E32,"")</f>
        <v>0.1793840602643168</v>
      </c>
      <c r="F33" s="8">
        <f>IFERROR((F32-'V41'!F32)/'V41'!F32,"")</f>
        <v>0.17888787934674347</v>
      </c>
      <c r="G33" s="8">
        <f>IFERROR((G32-'V41'!G32)/'V41'!G32,"")</f>
        <v>0.18015935451377293</v>
      </c>
    </row>
    <row r="34" spans="1:11">
      <c r="B34" s="5" t="s">
        <v>23</v>
      </c>
      <c r="E34" s="18">
        <f>(E32 / AVERAGE('V27'!E32,'V28'!E32,'V29'!E32,'V30'!E32,'V31'!E32,'V32'!E32,'V33'!E32,'V34'!E32,'V35'!E32,'V36'!E32,'V37'!E32,'V38'!E32,'V39'!E32,'V40'!E32,'V41'!E32)) * 100</f>
        <v>123.54265575742403</v>
      </c>
      <c r="F34" s="18">
        <f>(F32 / AVERAGE('V27'!F32,'V28'!F32,'V29'!F32,'V30'!F32,'V31'!F32,'V32'!F32,'V33'!F32,'V34'!F32,'V35'!F32,'V36'!F32,'V37'!F32,'V38'!F32,'V39'!F32,'V40'!F32,'V41'!F32)) * 100</f>
        <v>123.46666001411708</v>
      </c>
      <c r="G34" s="18">
        <f>(G32 / AVERAGE('V27'!G32,'V28'!G32,'V29'!G32,'V30'!G32,'V31'!G32,'V32'!G32,'V33'!G32,'V34'!G32,'V35'!G32,'V36'!G32,'V37'!G32,'V38'!G32,'V39'!G32,'V40'!G32,'V41'!G32)) * 100</f>
        <v>126.11054636689936</v>
      </c>
      <c r="H34" s="14">
        <f>IFERROR((G34*0.6)+(F34*0.4),"")</f>
        <v>125.05299182578645</v>
      </c>
    </row>
    <row r="35" spans="1:11">
      <c r="A35" s="1">
        <v>4</v>
      </c>
      <c r="C35" s="2" t="s">
        <v>38</v>
      </c>
      <c r="D35" s="2" t="s">
        <v>5</v>
      </c>
      <c r="E35" s="2" t="s">
        <v>6</v>
      </c>
      <c r="F35" s="2" t="s">
        <v>7</v>
      </c>
      <c r="G35" s="2" t="s">
        <v>8</v>
      </c>
      <c r="H35" s="2" t="s">
        <v>9</v>
      </c>
      <c r="I35" s="2" t="s">
        <v>10</v>
      </c>
      <c r="J35" s="2" t="s">
        <v>11</v>
      </c>
      <c r="K35" s="2" t="s">
        <v>12</v>
      </c>
    </row>
    <row r="36" spans="1:11">
      <c r="B36" s="6" t="s">
        <v>39</v>
      </c>
      <c r="C36" s="2" t="s">
        <v>40</v>
      </c>
      <c r="D36" s="5" t="s">
        <v>41</v>
      </c>
      <c r="E36" s="7">
        <v>474</v>
      </c>
      <c r="F36" s="7">
        <v>11195.14</v>
      </c>
      <c r="G36" s="7">
        <v>2519.92</v>
      </c>
      <c r="H36" s="8">
        <f>IFERROR(G36/F36,"")</f>
        <v>0.22509053035513626</v>
      </c>
      <c r="I36" s="18">
        <f>IFERROR(((E36/$B$112) / AVERAGE('V28'!E36/'V28'!$B$112, 'V29'!E36/'V29'!$B$112, 'V30'!E36/'V30'!$B$112, 'V31'!E36/'V31'!$B$112, 'V32'!E36/'V32'!$B$112, 'V33'!E36/'V33'!$B$112, 'V34'!E36/'V34'!$B$112, 'V35'!E36/'V35'!$B$112, 'V36'!E36/'V36'!$B$112, 'V37'!E36/'V37'!$B$112, 'V38'!E36/'V38'!$B$112, 'V39'!E36/'V39'!$B$112, 'V40'!E36/'V40'!$B$112, 'V41'!E36/'V41'!$B$112)) * 100,"")</f>
        <v>105.09873579900577</v>
      </c>
      <c r="J36" s="18">
        <f>IFERROR(((F36/$B$112) / AVERAGE('V28'!F36/'V28'!$B$112, 'V29'!F36/'V29'!$B$112, 'V30'!F36/'V30'!$B$112, 'V31'!F36/'V31'!$B$112, 'V32'!F36/'V32'!$B$112, 'V33'!F36/'V33'!$B$112, 'V34'!F36/'V34'!$B$112, 'V35'!F36/'V35'!$B$112, 'V36'!F36/'V36'!$B$112, 'V37'!F36/'V37'!$B$112, 'V38'!F36/'V38'!$B$112, 'V39'!F36/'V39'!$B$112, 'V40'!F36/'V40'!$B$112, 'V41'!F36/'V41'!$B$112)) * 100,"")</f>
        <v>105.08539126118271</v>
      </c>
      <c r="K36" s="18">
        <f>IFERROR(((G36/$B$112) / AVERAGE('V28'!G36/'V28'!$B$112, 'V29'!G36/'V29'!$B$112, 'V30'!G36/'V30'!$B$112, 'V31'!G36/'V31'!$B$112, 'V32'!G36/'V32'!$B$112, 'V33'!G36/'V33'!$B$112, 'V34'!G36/'V34'!$B$112, 'V35'!G36/'V35'!$B$112, 'V36'!G36/'V36'!$B$112, 'V37'!G36/'V37'!$B$112, 'V38'!G36/'V38'!$B$112, 'V39'!G36/'V39'!$B$112, 'V40'!G36/'V40'!$B$112, 'V41'!G36/'V41'!$B$112)) * 100,"")</f>
        <v>106.26592578523424</v>
      </c>
    </row>
    <row r="37" spans="1:11">
      <c r="C37" s="2" t="s">
        <v>42</v>
      </c>
    </row>
    <row r="38" spans="1:11">
      <c r="C38" s="2" t="s">
        <v>43</v>
      </c>
    </row>
    <row r="39" spans="1:11">
      <c r="C39" s="2" t="s">
        <v>44</v>
      </c>
    </row>
    <row r="40" spans="1:11">
      <c r="C40" s="9" t="s">
        <v>19</v>
      </c>
      <c r="D40" s="10"/>
      <c r="E40" s="11">
        <f>SUM(E36:E39)</f>
        <v>474</v>
      </c>
      <c r="F40" s="11">
        <f>SUM(F36:F39)</f>
        <v>11195.14</v>
      </c>
      <c r="G40" s="11">
        <f>SUM(G36:G39)</f>
        <v>2519.92</v>
      </c>
      <c r="H40" s="12">
        <f>IFERROR(G40/F40,"")</f>
        <v>0.22509053035513626</v>
      </c>
    </row>
    <row r="41" spans="1:11">
      <c r="B41" s="5" t="s">
        <v>20</v>
      </c>
      <c r="E41" s="16">
        <f>IFERROR((E40-('V41'!E40))/('V41'!E40),"")</f>
        <v>0.22797927461139897</v>
      </c>
      <c r="F41" s="16">
        <f>IFERROR((F40-('V41'!F40))/('V41'!F40),"")</f>
        <v>0.22791965919211679</v>
      </c>
      <c r="G41" s="16">
        <f>IFERROR((G40-('V41'!G40))/('V41'!G40),"")</f>
        <v>0.24382755659101454</v>
      </c>
      <c r="H41" s="16">
        <f>IFERROR(H40-('V41'!H40),"")</f>
        <v>2.8787889795324484E-3</v>
      </c>
    </row>
    <row r="42" spans="1:11">
      <c r="B42" s="5" t="s">
        <v>21</v>
      </c>
      <c r="E42" s="13">
        <f>E40/$B$112</f>
        <v>3.0001898854357872E-2</v>
      </c>
      <c r="F42" s="13">
        <f>F40/$B$112</f>
        <v>0.7085980125324387</v>
      </c>
      <c r="G42" s="13">
        <f>G40/$B$112</f>
        <v>0.15949870244952213</v>
      </c>
    </row>
    <row r="43" spans="1:11">
      <c r="B43" s="5" t="s">
        <v>22</v>
      </c>
      <c r="E43" s="8">
        <f>IFERROR((E42-'V41'!E42)/'V41'!E42,"")</f>
        <v>0.22051766246109245</v>
      </c>
      <c r="F43" s="8">
        <f>IFERROR((F42-'V41'!F42)/'V41'!F42,"")</f>
        <v>0.22045840928500601</v>
      </c>
      <c r="G43" s="8">
        <f>IFERROR((G42-'V41'!G42)/'V41'!G42,"")</f>
        <v>0.23626964498694247</v>
      </c>
    </row>
    <row r="44" spans="1:11">
      <c r="B44" s="5" t="s">
        <v>23</v>
      </c>
      <c r="E44" s="18">
        <f>(E42 / AVERAGE('V27'!E42,'V28'!E42,'V29'!E42,'V30'!E42,'V31'!E42,'V32'!E42,'V33'!E42,'V34'!E42,'V35'!E42,'V36'!E42,'V37'!E42,'V38'!E42,'V39'!E42,'V40'!E42,'V41'!E42)) * 100</f>
        <v>106.57983257300587</v>
      </c>
      <c r="F44" s="18">
        <f>(F42 / AVERAGE('V27'!F42,'V28'!F42,'V29'!F42,'V30'!F42,'V31'!F42,'V32'!F42,'V33'!F42,'V34'!F42,'V35'!F42,'V36'!F42,'V37'!F42,'V38'!F42,'V39'!F42,'V40'!F42,'V41'!F42)) * 100</f>
        <v>106.56655815737392</v>
      </c>
      <c r="G44" s="18">
        <f>(G42 / AVERAGE('V27'!G42,'V28'!G42,'V29'!G42,'V30'!G42,'V31'!G42,'V32'!G42,'V33'!G42,'V34'!G42,'V35'!G42,'V36'!G42,'V37'!G42,'V38'!G42,'V39'!G42,'V40'!G42,'V41'!G42)) * 100</f>
        <v>107.77455704904852</v>
      </c>
      <c r="H44" s="14">
        <f>IFERROR((G44*0.6)+(F44*0.4),"")</f>
        <v>107.29135749237869</v>
      </c>
    </row>
    <row r="45" spans="1:11">
      <c r="A45" s="1">
        <v>5</v>
      </c>
      <c r="C45" s="2" t="s">
        <v>45</v>
      </c>
      <c r="D45" s="2" t="s">
        <v>5</v>
      </c>
      <c r="E45" s="2" t="s">
        <v>6</v>
      </c>
      <c r="F45" s="2" t="s">
        <v>7</v>
      </c>
      <c r="G45" s="2" t="s">
        <v>8</v>
      </c>
      <c r="H45" s="2" t="s">
        <v>9</v>
      </c>
      <c r="I45" s="2" t="s">
        <v>10</v>
      </c>
      <c r="J45" s="2" t="s">
        <v>11</v>
      </c>
      <c r="K45" s="2" t="s">
        <v>12</v>
      </c>
    </row>
    <row r="46" spans="1:11">
      <c r="B46" s="6" t="s">
        <v>124</v>
      </c>
      <c r="C46" s="2" t="s">
        <v>47</v>
      </c>
      <c r="D46" s="5" t="s">
        <v>125</v>
      </c>
      <c r="E46" s="7">
        <v>97</v>
      </c>
      <c r="F46" s="7">
        <v>7682.4</v>
      </c>
      <c r="G46" s="7">
        <v>2250.4</v>
      </c>
      <c r="H46" s="8">
        <f>IFERROR(G46/F46,"")</f>
        <v>0.29292929292929293</v>
      </c>
      <c r="I46" s="18">
        <f>IFERROR(((E46/$B$112) / AVERAGE('V28'!E46/'V28'!$B$112, 'V29'!E46/'V29'!$B$112, 'V30'!E46/'V30'!$B$112, 'V31'!E46/'V31'!$B$112, 'V32'!E46/'V32'!$B$112, 'V33'!E46/'V33'!$B$112, 'V34'!E46/'V34'!$B$112, 'V35'!E46/'V35'!$B$112, 'V36'!E46/'V36'!$B$112, 'V37'!E46/'V37'!$B$112, 'V38'!E46/'V38'!$B$112, 'V39'!E46/'V39'!$B$112, 'V40'!E46/'V40'!$B$112, 'V41'!E46/'V41'!$B$112)) * 100,"")</f>
        <v>69.474644113876167</v>
      </c>
      <c r="J46" s="18">
        <f>IFERROR(((F46/$B$112) / AVERAGE('V28'!F46/'V28'!$B$112, 'V29'!F46/'V29'!$B$112, 'V30'!F46/'V30'!$B$112, 'V31'!F46/'V31'!$B$112, 'V32'!F46/'V32'!$B$112, 'V33'!F46/'V33'!$B$112, 'V34'!F46/'V34'!$B$112, 'V35'!F46/'V35'!$B$112, 'V36'!F46/'V36'!$B$112, 'V37'!F46/'V37'!$B$112, 'V38'!F46/'V38'!$B$112, 'V39'!F46/'V39'!$B$112, 'V40'!F46/'V40'!$B$112, 'V41'!F46/'V41'!$B$112)) * 100,"")</f>
        <v>69.608438579052574</v>
      </c>
      <c r="K46" s="18">
        <f>IFERROR(((G46/$B$112) / AVERAGE('V28'!G46/'V28'!$B$112, 'V29'!G46/'V29'!$B$112, 'V30'!G46/'V30'!$B$112, 'V31'!G46/'V31'!$B$112, 'V32'!G46/'V32'!$B$112, 'V33'!G46/'V33'!$B$112, 'V34'!G46/'V34'!$B$112, 'V35'!G46/'V35'!$B$112, 'V36'!G46/'V36'!$B$112, 'V37'!G46/'V37'!$B$112, 'V38'!G46/'V38'!$B$112, 'V39'!G46/'V39'!$B$112, 'V40'!G46/'V40'!$B$112, 'V41'!G46/'V41'!$B$112)) * 100,"")</f>
        <v>140.08026480994809</v>
      </c>
    </row>
    <row r="47" spans="1:11">
      <c r="C47" s="2" t="s">
        <v>49</v>
      </c>
    </row>
    <row r="48" spans="1:11">
      <c r="C48" s="2" t="s">
        <v>50</v>
      </c>
    </row>
    <row r="49" spans="1:11">
      <c r="C49" s="2" t="s">
        <v>51</v>
      </c>
    </row>
    <row r="50" spans="1:11">
      <c r="C50" s="9" t="s">
        <v>19</v>
      </c>
      <c r="D50" s="10"/>
      <c r="E50" s="11">
        <f>SUM(E46:E49)</f>
        <v>97</v>
      </c>
      <c r="F50" s="11">
        <f>SUM(F46:F49)</f>
        <v>7682.4</v>
      </c>
      <c r="G50" s="11">
        <f>SUM(G46:G49)</f>
        <v>2250.4</v>
      </c>
      <c r="H50" s="12">
        <f>IFERROR(G50/F50,"")</f>
        <v>0.29292929292929293</v>
      </c>
    </row>
    <row r="51" spans="1:11">
      <c r="B51" s="5" t="s">
        <v>20</v>
      </c>
      <c r="E51" s="16">
        <f>IFERROR((E50-('V41'!E50))/('V41'!E50),"")</f>
        <v>1.0416666666666666E-2</v>
      </c>
      <c r="F51" s="16">
        <f>IFERROR((F50-('V41'!F50))/('V41'!F50),"")</f>
        <v>1.0416666666666644E-2</v>
      </c>
      <c r="G51" s="16">
        <f>IFERROR((G50-('V41'!G50))/('V41'!G50),"")</f>
        <v>3.6143468852157093E-2</v>
      </c>
      <c r="H51" s="16">
        <f>IFERROR(H50-('V41'!H50),"")</f>
        <v>7.2732533670033517E-3</v>
      </c>
    </row>
    <row r="52" spans="1:11">
      <c r="B52" s="5" t="s">
        <v>21</v>
      </c>
      <c r="E52" s="13">
        <f>E50/$B$112</f>
        <v>6.1396290904487628E-3</v>
      </c>
      <c r="F52" s="13">
        <f>F50/$B$112</f>
        <v>0.48625862396354197</v>
      </c>
      <c r="G52" s="13">
        <f>G50/$B$112</f>
        <v>0.14243939489841129</v>
      </c>
    </row>
    <row r="53" spans="1:11">
      <c r="B53" s="5" t="s">
        <v>22</v>
      </c>
      <c r="E53" s="8">
        <f>IFERROR((E52-'V41'!E52)/'V41'!E52,"")</f>
        <v>4.2770375762179839E-3</v>
      </c>
      <c r="F53" s="8">
        <f>IFERROR((F52-'V41'!F52)/'V41'!F52,"")</f>
        <v>4.2770375762178677E-3</v>
      </c>
      <c r="G53" s="8">
        <f>IFERROR((G52-'V41'!G52)/'V41'!G52,"")</f>
        <v>2.9847515120287504E-2</v>
      </c>
    </row>
    <row r="54" spans="1:11">
      <c r="B54" s="5" t="s">
        <v>23</v>
      </c>
      <c r="E54" s="18">
        <f>(E52 / AVERAGE('V27'!E52,'V28'!E52,'V29'!E52,'V30'!E52,'V31'!E52,'V32'!E52,'V33'!E52,'V34'!E52,'V35'!E52,'V36'!E52,'V37'!E52,'V38'!E52,'V39'!E52,'V40'!E52,'V41'!E52)) * 100</f>
        <v>67.402738370154452</v>
      </c>
      <c r="F54" s="18">
        <f>(F52 / AVERAGE('V27'!F52,'V28'!F52,'V29'!F52,'V30'!F52,'V31'!F52,'V32'!F52,'V33'!F52,'V34'!F52,'V35'!F52,'V36'!F52,'V37'!F52,'V38'!F52,'V39'!F52,'V40'!F52,'V41'!F52)) * 100</f>
        <v>68.052172544286066</v>
      </c>
      <c r="G54" s="18">
        <f>(G52 / AVERAGE('V27'!G52,'V28'!G52,'V29'!G52,'V30'!G52,'V31'!G52,'V32'!G52,'V33'!G52,'V34'!G52,'V35'!G52,'V36'!G52,'V37'!G52,'V38'!G52,'V39'!G52,'V40'!G52,'V41'!G52)) * 100</f>
        <v>146.54942983669198</v>
      </c>
      <c r="H54" s="14">
        <f>IFERROR((G54*0.6)+(F54*0.4),"")</f>
        <v>115.15052691972963</v>
      </c>
    </row>
    <row r="55" spans="1:11">
      <c r="A55" s="1">
        <v>6</v>
      </c>
      <c r="C55" s="2" t="s">
        <v>52</v>
      </c>
      <c r="D55" s="2" t="s">
        <v>5</v>
      </c>
      <c r="E55" s="2" t="s">
        <v>6</v>
      </c>
      <c r="F55" s="2" t="s">
        <v>7</v>
      </c>
      <c r="G55" s="2" t="s">
        <v>8</v>
      </c>
      <c r="H55" s="2" t="s">
        <v>9</v>
      </c>
      <c r="I55" s="2" t="s">
        <v>10</v>
      </c>
      <c r="J55" s="2" t="s">
        <v>11</v>
      </c>
      <c r="K55" s="2" t="s">
        <v>12</v>
      </c>
    </row>
    <row r="56" spans="1:11">
      <c r="B56" s="6" t="s">
        <v>53</v>
      </c>
      <c r="C56" s="2" t="s">
        <v>54</v>
      </c>
      <c r="D56" s="5" t="s">
        <v>55</v>
      </c>
      <c r="E56" s="7">
        <v>155</v>
      </c>
      <c r="F56" s="7">
        <v>6234.28</v>
      </c>
      <c r="G56" s="7">
        <v>1274.28</v>
      </c>
      <c r="H56" s="8">
        <f>IFERROR(G56/F56,"")</f>
        <v>0.2043989041236518</v>
      </c>
      <c r="I56" s="18">
        <f>IFERROR(((E56/$B$112) / AVERAGE('V28'!E56/'V28'!$B$112, 'V29'!E56/'V29'!$B$112, 'V30'!E56/'V30'!$B$112, 'V31'!E56/'V31'!$B$112, 'V32'!E56/'V32'!$B$112, 'V33'!E56/'V33'!$B$112, 'V34'!E56/'V34'!$B$112, 'V35'!E56/'V35'!$B$112, 'V36'!E56/'V36'!$B$112, 'V37'!E56/'V37'!$B$112, 'V38'!E56/'V38'!$B$112, 'V39'!E56/'V39'!$B$112, 'V40'!E56/'V40'!$B$112, 'V41'!E56/'V41'!$B$112)) * 100,"")</f>
        <v>95.953452246757038</v>
      </c>
      <c r="J56" s="18">
        <f>IFERROR(((F56/$B$112) / AVERAGE('V28'!F56/'V28'!$B$112, 'V29'!F56/'V29'!$B$112, 'V30'!F56/'V30'!$B$112, 'V31'!F56/'V31'!$B$112, 'V32'!F56/'V32'!$B$112, 'V33'!F56/'V33'!$B$112, 'V34'!F56/'V34'!$B$112, 'V35'!F56/'V35'!$B$112, 'V36'!F56/'V36'!$B$112, 'V37'!F56/'V37'!$B$112, 'V38'!F56/'V38'!$B$112, 'V39'!F56/'V39'!$B$112, 'V40'!F56/'V40'!$B$112, 'V41'!F56/'V41'!$B$112)) * 100,"")</f>
        <v>95.10014539088975</v>
      </c>
      <c r="K56" s="18">
        <f>IFERROR(((G56/$B$112) / AVERAGE('V28'!G56/'V28'!$B$112, 'V29'!G56/'V29'!$B$112, 'V30'!G56/'V30'!$B$112, 'V31'!G56/'V31'!$B$112, 'V32'!G56/'V32'!$B$112, 'V33'!G56/'V33'!$B$112, 'V34'!G56/'V34'!$B$112, 'V35'!G56/'V35'!$B$112, 'V36'!G56/'V36'!$B$112, 'V37'!G56/'V37'!$B$112, 'V38'!G56/'V38'!$B$112, 'V39'!G56/'V39'!$B$112, 'V40'!G56/'V40'!$B$112, 'V41'!G56/'V41'!$B$112)) * 100,"")</f>
        <v>92.438564573544241</v>
      </c>
    </row>
    <row r="57" spans="1:11">
      <c r="C57" s="2" t="s">
        <v>56</v>
      </c>
    </row>
    <row r="58" spans="1:11">
      <c r="C58" s="2" t="s">
        <v>57</v>
      </c>
    </row>
    <row r="59" spans="1:11">
      <c r="C59" s="2" t="s">
        <v>58</v>
      </c>
    </row>
    <row r="60" spans="1:11">
      <c r="C60" s="9" t="s">
        <v>19</v>
      </c>
      <c r="D60" s="10"/>
      <c r="E60" s="11">
        <f>SUM(E56:E59)</f>
        <v>155</v>
      </c>
      <c r="F60" s="11">
        <f>SUM(F56:F59)</f>
        <v>6234.28</v>
      </c>
      <c r="G60" s="11">
        <f>SUM(G56:G59)</f>
        <v>1274.28</v>
      </c>
      <c r="H60" s="12">
        <f>IFERROR(G60/F60,"")</f>
        <v>0.2043989041236518</v>
      </c>
    </row>
    <row r="61" spans="1:11">
      <c r="B61" s="5" t="s">
        <v>20</v>
      </c>
      <c r="E61" s="16">
        <f>IFERROR((E60-('V41'!E60))/('V41'!E60),"")</f>
        <v>3.3333333333333333E-2</v>
      </c>
      <c r="F61" s="16">
        <f>IFERROR((F60-('V41'!F60))/('V41'!F60),"")</f>
        <v>3.6586501370081667E-2</v>
      </c>
      <c r="G61" s="16">
        <f>IFERROR((G60-('V41'!G60))/('V41'!G60),"")</f>
        <v>4.9446567400184445E-2</v>
      </c>
      <c r="H61" s="16">
        <f>IFERROR(H60-('V41'!H60),"")</f>
        <v>2.5047329565550391E-3</v>
      </c>
    </row>
    <row r="62" spans="1:11">
      <c r="B62" s="5" t="s">
        <v>21</v>
      </c>
      <c r="E62" s="13">
        <f>E60/$B$112</f>
        <v>9.8107475156655483E-3</v>
      </c>
      <c r="F62" s="13">
        <f>F60/$B$112</f>
        <v>0.39459965820621556</v>
      </c>
      <c r="G62" s="13">
        <f>G60/$B$112</f>
        <v>8.0655737704918032E-2</v>
      </c>
    </row>
    <row r="63" spans="1:11">
      <c r="B63" s="5" t="s">
        <v>22</v>
      </c>
      <c r="E63" s="8">
        <f>IFERROR((E62-'V41'!E62)/'V41'!E62,"")</f>
        <v>2.7054454923307318E-2</v>
      </c>
      <c r="F63" s="8">
        <f>IFERROR((F62-'V41'!F62)/'V41'!F62,"")</f>
        <v>3.0287855624684626E-2</v>
      </c>
      <c r="G63" s="8">
        <f>IFERROR((G62-'V41'!G62)/'V41'!G62,"")</f>
        <v>4.306977959903141E-2</v>
      </c>
    </row>
    <row r="64" spans="1:11">
      <c r="B64" s="5" t="s">
        <v>23</v>
      </c>
      <c r="E64" s="18">
        <f>(E62 / AVERAGE('V27'!E62,'V28'!E62,'V29'!E62,'V30'!E62,'V31'!E62,'V32'!E62,'V33'!E62,'V34'!E62,'V35'!E62,'V36'!E62,'V37'!E62,'V38'!E62,'V39'!E62,'V40'!E62,'V41'!E62)) * 100</f>
        <v>97.421247227190207</v>
      </c>
      <c r="F64" s="18">
        <f>(F62 / AVERAGE('V27'!F62,'V28'!F62,'V29'!F62,'V30'!F62,'V31'!F62,'V32'!F62,'V33'!F62,'V34'!F62,'V35'!F62,'V36'!F62,'V37'!F62,'V38'!F62,'V39'!F62,'V40'!F62,'V41'!F62)) * 100</f>
        <v>96.534384120000695</v>
      </c>
      <c r="G64" s="18">
        <f>(G62 / AVERAGE('V27'!G62,'V28'!G62,'V29'!G62,'V30'!G62,'V31'!G62,'V32'!G62,'V33'!G62,'V34'!G62,'V35'!G62,'V36'!G62,'V37'!G62,'V38'!G62,'V39'!G62,'V40'!G62,'V41'!G62)) * 100</f>
        <v>93.730134518926718</v>
      </c>
      <c r="H64" s="14">
        <f>IFERROR((G64*0.6)+(F64*0.4),"")</f>
        <v>94.851834359356303</v>
      </c>
    </row>
    <row r="65" spans="1:11">
      <c r="A65" s="1">
        <v>7</v>
      </c>
      <c r="C65" s="2" t="s">
        <v>59</v>
      </c>
      <c r="D65" s="2" t="s">
        <v>5</v>
      </c>
      <c r="E65" s="2" t="s">
        <v>6</v>
      </c>
      <c r="F65" s="2" t="s">
        <v>7</v>
      </c>
      <c r="G65" s="2" t="s">
        <v>8</v>
      </c>
      <c r="H65" s="2" t="s">
        <v>9</v>
      </c>
      <c r="I65" s="2" t="s">
        <v>10</v>
      </c>
      <c r="J65" s="2" t="s">
        <v>11</v>
      </c>
      <c r="K65" s="2" t="s">
        <v>12</v>
      </c>
    </row>
    <row r="66" spans="1:11">
      <c r="B66" s="6" t="s">
        <v>140</v>
      </c>
      <c r="C66" s="2" t="s">
        <v>61</v>
      </c>
      <c r="D66" s="5" t="s">
        <v>141</v>
      </c>
      <c r="E66" s="7">
        <v>145</v>
      </c>
      <c r="F66" s="7">
        <v>5682.04</v>
      </c>
      <c r="G66" s="7">
        <v>2057.04</v>
      </c>
      <c r="H66" s="8">
        <f>IFERROR(G66/F66,"")</f>
        <v>0.36202490654764835</v>
      </c>
      <c r="I66" s="18">
        <f>IFERROR(((E66/$B$112) / AVERAGE('V28'!E66/'V28'!$B$112, 'V29'!E66/'V29'!$B$112, 'V30'!E66/'V30'!$B$112, 'V31'!E66/'V31'!$B$112, 'V32'!E66/'V32'!$B$112, 'V33'!E66/'V33'!$B$112, 'V34'!E66/'V34'!$B$112, 'V35'!E66/'V35'!$B$112, 'V36'!E66/'V36'!$B$112, 'V37'!E66/'V37'!$B$112, 'V38'!E66/'V38'!$B$112, 'V39'!E66/'V39'!$B$112, 'V40'!E66/'V40'!$B$112, 'V41'!E66/'V41'!$B$112)) * 100,"")</f>
        <v>111.56483124978223</v>
      </c>
      <c r="J66" s="18">
        <f>IFERROR(((F66/$B$112) / AVERAGE('V28'!F66/'V28'!$B$112, 'V29'!F66/'V29'!$B$112, 'V30'!F66/'V30'!$B$112, 'V31'!F66/'V31'!$B$112, 'V32'!F66/'V32'!$B$112, 'V33'!F66/'V33'!$B$112, 'V34'!F66/'V34'!$B$112, 'V35'!F66/'V35'!$B$112, 'V36'!F66/'V36'!$B$112, 'V37'!F66/'V37'!$B$112, 'V38'!F66/'V38'!$B$112, 'V39'!F66/'V39'!$B$112, 'V40'!F66/'V40'!$B$112, 'V41'!F66/'V41'!$B$112)) * 100,"")</f>
        <v>177.50705337356828</v>
      </c>
      <c r="K66" s="18">
        <f>IFERROR(((G66/$B$112) / AVERAGE('V28'!G66/'V28'!$B$112, 'V29'!G66/'V29'!$B$112, 'V30'!G66/'V30'!$B$112, 'V31'!G66/'V31'!$B$112, 'V32'!G66/'V32'!$B$112, 'V33'!G66/'V33'!$B$112, 'V34'!G66/'V34'!$B$112, 'V35'!G66/'V35'!$B$112, 'V36'!G66/'V36'!$B$112, 'V37'!G66/'V37'!$B$112, 'V38'!G66/'V38'!$B$112, 'V39'!G66/'V39'!$B$112, 'V40'!G66/'V40'!$B$112, 'V41'!G66/'V41'!$B$112)) * 100,"")</f>
        <v>233.49214834917379</v>
      </c>
    </row>
    <row r="67" spans="1:11">
      <c r="C67" s="2" t="s">
        <v>63</v>
      </c>
    </row>
    <row r="68" spans="1:11">
      <c r="C68" s="2" t="s">
        <v>64</v>
      </c>
    </row>
    <row r="69" spans="1:11">
      <c r="C69" s="2" t="s">
        <v>65</v>
      </c>
    </row>
    <row r="70" spans="1:11">
      <c r="C70" s="9" t="s">
        <v>19</v>
      </c>
      <c r="D70" s="10"/>
      <c r="E70" s="11">
        <f>SUM(E66:E69)</f>
        <v>145</v>
      </c>
      <c r="F70" s="11">
        <f>SUM(F66:F69)</f>
        <v>5682.04</v>
      </c>
      <c r="G70" s="11">
        <f>SUM(G66:G69)</f>
        <v>2057.04</v>
      </c>
      <c r="H70" s="12">
        <f>IFERROR(G70/F70,"")</f>
        <v>0.36202490654764835</v>
      </c>
    </row>
    <row r="71" spans="1:11">
      <c r="B71" s="5" t="s">
        <v>20</v>
      </c>
      <c r="E71" s="16">
        <f>IFERROR((E70-('V41'!E70))/('V41'!E70),"")</f>
        <v>1.3986013986013986E-2</v>
      </c>
      <c r="F71" s="16">
        <f>IFERROR((F70-('V41'!F70))/('V41'!F70),"")</f>
        <v>1.3636363636363565E-2</v>
      </c>
      <c r="G71" s="16">
        <f>IFERROR((G70-('V41'!G70))/('V41'!G70),"")</f>
        <v>1.302078203486657E-2</v>
      </c>
      <c r="H71" s="16">
        <f>IFERROR(H70-('V41'!H70),"")</f>
        <v>-2.1999141153528079E-4</v>
      </c>
    </row>
    <row r="72" spans="1:11">
      <c r="B72" s="5" t="s">
        <v>21</v>
      </c>
      <c r="E72" s="13">
        <f>E70/$B$112</f>
        <v>9.1777960630419642E-3</v>
      </c>
      <c r="F72" s="13">
        <f>F70/$B$112</f>
        <v>0.3596455471865308</v>
      </c>
      <c r="G72" s="13">
        <f>G70/$B$112</f>
        <v>0.13020064561048167</v>
      </c>
    </row>
    <row r="73" spans="1:11">
      <c r="B73" s="5" t="s">
        <v>22</v>
      </c>
      <c r="E73" s="8">
        <f>IFERROR((E72-'V41'!E72)/'V41'!E72,"")</f>
        <v>7.8246963492864894E-3</v>
      </c>
      <c r="F73" s="8">
        <f>IFERROR((F72-'V41'!F72)/'V41'!F72,"")</f>
        <v>7.4771705919246716E-3</v>
      </c>
      <c r="G73" s="8">
        <f>IFERROR((G72-'V41'!G72)/'V41'!G72,"")</f>
        <v>6.8653294698087144E-3</v>
      </c>
    </row>
    <row r="74" spans="1:11">
      <c r="B74" s="5" t="s">
        <v>23</v>
      </c>
      <c r="E74" s="18">
        <f>(E72 / AVERAGE('V27'!E72,'V28'!E72,'V29'!E72,'V30'!E72,'V31'!E72,'V32'!E72,'V33'!E72,'V34'!E72,'V35'!E72,'V36'!E72,'V37'!E72,'V38'!E72,'V39'!E72,'V40'!E72,'V41'!E72)) * 100</f>
        <v>111.9903304866905</v>
      </c>
      <c r="F74" s="18">
        <f>(F72 / AVERAGE('V27'!F72,'V28'!F72,'V29'!F72,'V30'!F72,'V31'!F72,'V32'!F72,'V33'!F72,'V34'!F72,'V35'!F72,'V36'!F72,'V37'!F72,'V38'!F72,'V39'!F72,'V40'!F72,'V41'!F72)) * 100</f>
        <v>179.99093033260888</v>
      </c>
      <c r="G74" s="18">
        <f>(G72 / AVERAGE('V27'!G72,'V28'!G72,'V29'!G72,'V30'!G72,'V31'!G72,'V32'!G72,'V33'!G72,'V34'!G72,'V35'!G72,'V36'!G72,'V37'!G72,'V38'!G72,'V39'!G72,'V40'!G72,'V41'!G72)) * 100</f>
        <v>238.8687066202896</v>
      </c>
      <c r="H74" s="14">
        <f>IFERROR((G74*0.6)+(F74*0.4),"")</f>
        <v>215.31759610521732</v>
      </c>
    </row>
    <row r="75" spans="1:11">
      <c r="A75" s="1">
        <v>8</v>
      </c>
      <c r="C75" s="2" t="s">
        <v>66</v>
      </c>
      <c r="D75" s="2" t="s">
        <v>5</v>
      </c>
      <c r="E75" s="2" t="s">
        <v>6</v>
      </c>
      <c r="F75" s="2" t="s">
        <v>7</v>
      </c>
      <c r="G75" s="2" t="s">
        <v>8</v>
      </c>
      <c r="H75" s="2" t="s">
        <v>9</v>
      </c>
      <c r="I75" s="2" t="s">
        <v>10</v>
      </c>
      <c r="J75" s="2" t="s">
        <v>11</v>
      </c>
      <c r="K75" s="2" t="s">
        <v>12</v>
      </c>
    </row>
    <row r="76" spans="1:11">
      <c r="B76" s="6" t="s">
        <v>126</v>
      </c>
      <c r="C76" s="2" t="s">
        <v>68</v>
      </c>
      <c r="D76" s="5" t="s">
        <v>127</v>
      </c>
      <c r="E76" s="7">
        <v>61</v>
      </c>
      <c r="F76" s="7">
        <v>1949.56</v>
      </c>
      <c r="G76" s="7">
        <v>394.06</v>
      </c>
      <c r="H76" s="8">
        <f>IFERROR(G76/F76,"")</f>
        <v>0.2021276595744681</v>
      </c>
      <c r="I76" s="18">
        <f>IFERROR(((E76/$B$112) / AVERAGE('V28'!E76/'V28'!$B$112, 'V29'!E76/'V29'!$B$112, 'V30'!E76/'V30'!$B$112, 'V31'!E76/'V31'!$B$112, 'V32'!E76/'V32'!$B$112, 'V33'!E76/'V33'!$B$112, 'V34'!E76/'V34'!$B$112, 'V35'!E76/'V35'!$B$112, 'V36'!E76/'V36'!$B$112, 'V37'!E76/'V37'!$B$112, 'V38'!E76/'V38'!$B$112, 'V39'!E76/'V39'!$B$112, 'V40'!E76/'V40'!$B$112, 'V41'!E76/'V41'!$B$112)) * 100,"")</f>
        <v>79.42158605564309</v>
      </c>
      <c r="J76" s="18">
        <f>IFERROR(((F76/$B$112) / AVERAGE('V28'!F76/'V28'!$B$112, 'V29'!F76/'V29'!$B$112, 'V30'!F76/'V30'!$B$112, 'V31'!F76/'V31'!$B$112, 'V32'!F76/'V32'!$B$112, 'V33'!F76/'V33'!$B$112, 'V34'!F76/'V34'!$B$112, 'V35'!F76/'V35'!$B$112, 'V36'!F76/'V36'!$B$112, 'V37'!F76/'V37'!$B$112, 'V38'!F76/'V38'!$B$112, 'V39'!F76/'V39'!$B$112, 'V40'!F76/'V40'!$B$112, 'V41'!F76/'V41'!$B$112)) * 100,"")</f>
        <v>101.09752619596834</v>
      </c>
      <c r="K76" s="18">
        <f>IFERROR(((G76/$B$112) / AVERAGE('V28'!G76/'V28'!$B$112, 'V29'!G76/'V29'!$B$112, 'V30'!G76/'V30'!$B$112, 'V31'!G76/'V31'!$B$112, 'V32'!G76/'V32'!$B$112, 'V33'!G76/'V33'!$B$112, 'V34'!G76/'V34'!$B$112, 'V35'!G76/'V35'!$B$112, 'V36'!G76/'V36'!$B$112, 'V37'!G76/'V37'!$B$112, 'V38'!G76/'V38'!$B$112, 'V39'!G76/'V39'!$B$112, 'V40'!G76/'V40'!$B$112, 'V41'!G76/'V41'!$B$112)) * 100,"")</f>
        <v>95.715134530735625</v>
      </c>
    </row>
    <row r="77" spans="1:11">
      <c r="C77" s="2" t="s">
        <v>70</v>
      </c>
    </row>
    <row r="78" spans="1:11">
      <c r="C78" s="2" t="s">
        <v>71</v>
      </c>
    </row>
    <row r="79" spans="1:11">
      <c r="C79" s="2" t="s">
        <v>72</v>
      </c>
    </row>
    <row r="80" spans="1:11">
      <c r="C80" s="9" t="s">
        <v>19</v>
      </c>
      <c r="D80" s="10"/>
      <c r="E80" s="11">
        <f>SUM(E76:E79)</f>
        <v>61</v>
      </c>
      <c r="F80" s="11">
        <f>SUM(F76:F79)</f>
        <v>1949.56</v>
      </c>
      <c r="G80" s="11">
        <f>SUM(G76:G79)</f>
        <v>394.06</v>
      </c>
      <c r="H80" s="12">
        <f>IFERROR(G80/F80,"")</f>
        <v>0.2021276595744681</v>
      </c>
    </row>
    <row r="81" spans="1:11">
      <c r="B81" s="5" t="s">
        <v>20</v>
      </c>
      <c r="E81" s="16">
        <f>IFERROR((E80-('V41'!E80))/('V41'!E80),"")</f>
        <v>0.19607843137254902</v>
      </c>
      <c r="F81" s="16">
        <f>IFERROR((F80-('V41'!F80))/('V41'!F80),"")</f>
        <v>0.19607843137254896</v>
      </c>
      <c r="G81" s="16">
        <f>IFERROR((G80-('V41'!G80))/('V41'!G80),"")</f>
        <v>0.1960784313725491</v>
      </c>
      <c r="H81" s="16">
        <f>IFERROR(H80-('V41'!H80),"")</f>
        <v>2.7755575615628914E-17</v>
      </c>
    </row>
    <row r="82" spans="1:11">
      <c r="B82" s="5" t="s">
        <v>21</v>
      </c>
      <c r="E82" s="13">
        <f>E80/$B$112</f>
        <v>3.8610038610038611E-3</v>
      </c>
      <c r="F82" s="13">
        <f>F80/$B$112</f>
        <v>0.12339768339768339</v>
      </c>
      <c r="G82" s="13">
        <f>G80/$B$112</f>
        <v>2.4942084942084941E-2</v>
      </c>
    </row>
    <row r="83" spans="1:11">
      <c r="B83" s="5" t="s">
        <v>22</v>
      </c>
      <c r="E83" s="8">
        <f>IFERROR((E82-'V41'!E82)/'V41'!E82,"")</f>
        <v>0.18881065939889477</v>
      </c>
      <c r="F83" s="8">
        <f>IFERROR((F82-'V41'!F82)/'V41'!F82,"")</f>
        <v>0.1888106593988946</v>
      </c>
      <c r="G83" s="8">
        <f>IFERROR((G82-'V41'!G82)/'V41'!G82,"")</f>
        <v>0.18881065939889466</v>
      </c>
    </row>
    <row r="84" spans="1:11">
      <c r="B84" s="5" t="s">
        <v>23</v>
      </c>
      <c r="E84" s="18">
        <f>(E82 / AVERAGE('V27'!E82,'V28'!E82,'V29'!E82,'V30'!E82,'V31'!E82,'V32'!E82,'V33'!E82,'V34'!E82,'V35'!E82,'V36'!E82,'V37'!E82,'V38'!E82,'V39'!E82,'V40'!E82,'V41'!E82)) * 100</f>
        <v>82.080629926955297</v>
      </c>
      <c r="F84" s="18">
        <f>(F82 / AVERAGE('V27'!F82,'V28'!F82,'V29'!F82,'V30'!F82,'V31'!F82,'V32'!F82,'V33'!F82,'V34'!F82,'V35'!F82,'V36'!F82,'V37'!F82,'V38'!F82,'V39'!F82,'V40'!F82,'V41'!F82)) * 100</f>
        <v>103.48679182382892</v>
      </c>
      <c r="G84" s="18">
        <f>(G82 / AVERAGE('V27'!G82,'V28'!G82,'V29'!G82,'V30'!G82,'V31'!G82,'V32'!G82,'V33'!G82,'V34'!G82,'V35'!G82,'V36'!G82,'V37'!G82,'V38'!G82,'V39'!G82,'V40'!G82,'V41'!G82)) * 100</f>
        <v>97.906383246555436</v>
      </c>
      <c r="H84" s="14">
        <f>IFERROR((G84*0.6)+(F84*0.4),"")</f>
        <v>100.13854667746483</v>
      </c>
    </row>
    <row r="85" spans="1:11">
      <c r="A85" s="1">
        <v>9</v>
      </c>
      <c r="C85" s="2" t="s">
        <v>73</v>
      </c>
      <c r="D85" s="2" t="s">
        <v>5</v>
      </c>
      <c r="E85" s="2" t="s">
        <v>6</v>
      </c>
      <c r="F85" s="2" t="s">
        <v>7</v>
      </c>
      <c r="G85" s="2" t="s">
        <v>8</v>
      </c>
      <c r="H85" s="2" t="s">
        <v>9</v>
      </c>
      <c r="I85" s="2" t="s">
        <v>10</v>
      </c>
      <c r="J85" s="2" t="s">
        <v>11</v>
      </c>
      <c r="K85" s="2" t="s">
        <v>12</v>
      </c>
    </row>
    <row r="86" spans="1:11">
      <c r="B86" s="6" t="s">
        <v>74</v>
      </c>
      <c r="C86" s="2" t="s">
        <v>75</v>
      </c>
      <c r="D86" s="5" t="s">
        <v>76</v>
      </c>
      <c r="E86" s="7">
        <v>236</v>
      </c>
      <c r="F86" s="7">
        <v>8496</v>
      </c>
      <c r="G86" s="7">
        <v>1066.72</v>
      </c>
      <c r="H86" s="8">
        <f>IFERROR(G86/F86,"")</f>
        <v>0.12555555555555556</v>
      </c>
      <c r="I86" s="18">
        <f>IFERROR(((E86/$B$112) / AVERAGE('V28'!E86/'V28'!$B$112, 'V29'!E86/'V29'!$B$112, 'V30'!E86/'V30'!$B$112, 'V31'!E86/'V31'!$B$112, 'V32'!E86/'V32'!$B$112, 'V33'!E86/'V33'!$B$112, 'V34'!E86/'V34'!$B$112, 'V35'!E86/'V35'!$B$112, 'V36'!E86/'V36'!$B$112, 'V37'!E86/'V37'!$B$112, 'V38'!E86/'V38'!$B$112, 'V39'!E86/'V39'!$B$112, 'V40'!E86/'V40'!$B$112, 'V41'!E86/'V41'!$B$112)) * 100,"")</f>
        <v>113.50304734044173</v>
      </c>
      <c r="J86" s="18">
        <f>IFERROR(((F86/$B$112) / AVERAGE('V28'!F86/'V28'!$B$112, 'V29'!F86/'V29'!$B$112, 'V30'!F86/'V30'!$B$112, 'V31'!F86/'V31'!$B$112, 'V32'!F86/'V32'!$B$112, 'V33'!F86/'V33'!$B$112, 'V34'!F86/'V34'!$B$112, 'V35'!F86/'V35'!$B$112, 'V36'!F86/'V36'!$B$112, 'V37'!F86/'V37'!$B$112, 'V38'!F86/'V38'!$B$112, 'V39'!F86/'V39'!$B$112, 'V40'!F86/'V40'!$B$112, 'V41'!F86/'V41'!$B$112)) * 100,"")</f>
        <v>113.51498356304613</v>
      </c>
      <c r="K86" s="18">
        <f>IFERROR(((G86/$B$112) / AVERAGE('V28'!G86/'V28'!$B$112, 'V29'!G86/'V29'!$B$112, 'V30'!G86/'V30'!$B$112, 'V31'!G86/'V31'!$B$112, 'V32'!G86/'V32'!$B$112, 'V33'!G86/'V33'!$B$112, 'V34'!G86/'V34'!$B$112, 'V35'!G86/'V35'!$B$112, 'V36'!G86/'V36'!$B$112, 'V37'!G86/'V37'!$B$112, 'V38'!G86/'V38'!$B$112, 'V39'!G86/'V39'!$B$112, 'V40'!G86/'V40'!$B$112, 'V41'!G86/'V41'!$B$112)) * 100,"")</f>
        <v>86.128727683464263</v>
      </c>
    </row>
    <row r="87" spans="1:11">
      <c r="C87" s="2" t="s">
        <v>77</v>
      </c>
    </row>
    <row r="88" spans="1:11">
      <c r="C88" s="2" t="s">
        <v>78</v>
      </c>
    </row>
    <row r="89" spans="1:11">
      <c r="C89" s="2" t="s">
        <v>79</v>
      </c>
    </row>
    <row r="90" spans="1:11">
      <c r="C90" s="9" t="s">
        <v>19</v>
      </c>
      <c r="D90" s="10"/>
      <c r="E90" s="11">
        <f>SUM(E86:E89)</f>
        <v>236</v>
      </c>
      <c r="F90" s="11">
        <f>SUM(F86:F89)</f>
        <v>8496</v>
      </c>
      <c r="G90" s="11">
        <f>SUM(G86:G89)</f>
        <v>1066.72</v>
      </c>
      <c r="H90" s="12">
        <f>IFERROR(G90/F90,"")</f>
        <v>0.12555555555555556</v>
      </c>
    </row>
    <row r="91" spans="1:11">
      <c r="B91" s="5" t="s">
        <v>20</v>
      </c>
      <c r="E91" s="16">
        <f>IFERROR((E90-('V41'!E90))/('V41'!E90),"")</f>
        <v>3.5087719298245612E-2</v>
      </c>
      <c r="F91" s="16">
        <f>IFERROR((F90-('V41'!F90))/('V41'!F90),"")</f>
        <v>3.5087719298245612E-2</v>
      </c>
      <c r="G91" s="16">
        <f>IFERROR((G90-('V41'!G90))/('V41'!G90),"")</f>
        <v>-0.11111111111111105</v>
      </c>
      <c r="H91" s="16">
        <f>IFERROR(H90-('V41'!H90),"")</f>
        <v>-2.0650584795321614E-2</v>
      </c>
    </row>
    <row r="92" spans="1:11">
      <c r="B92" s="5" t="s">
        <v>21</v>
      </c>
      <c r="E92" s="13">
        <f>E90/$B$112</f>
        <v>1.4937654281916577E-2</v>
      </c>
      <c r="F92" s="13">
        <f>F90/$B$112</f>
        <v>0.53775555414899678</v>
      </c>
      <c r="G92" s="13">
        <f>G90/$B$112</f>
        <v>6.7518197354262927E-2</v>
      </c>
    </row>
    <row r="93" spans="1:11">
      <c r="B93" s="5" t="s">
        <v>22</v>
      </c>
      <c r="E93" s="8">
        <f>IFERROR((E92-'V41'!E92)/'V41'!E92,"")</f>
        <v>2.8798180653228134E-2</v>
      </c>
      <c r="F93" s="8">
        <f>IFERROR((F92-'V41'!F92)/'V41'!F92,"")</f>
        <v>2.8798180653228162E-2</v>
      </c>
      <c r="G93" s="8">
        <f>IFERROR((G92-'V41'!G92)/'V41'!G92,"")</f>
        <v>-0.11651229684016573</v>
      </c>
    </row>
    <row r="94" spans="1:11">
      <c r="B94" s="5" t="s">
        <v>23</v>
      </c>
      <c r="E94" s="18">
        <f>(E92 / AVERAGE('V27'!E92,'V28'!E92,'V29'!E92,'V30'!E92,'V31'!E92,'V32'!E92,'V33'!E92,'V34'!E92,'V35'!E92,'V36'!E92,'V37'!E92,'V38'!E92,'V39'!E92,'V40'!E92,'V41'!E92)) * 100</f>
        <v>114.34063780854061</v>
      </c>
      <c r="F94" s="18">
        <f>(F92 / AVERAGE('V27'!F92,'V28'!F92,'V29'!F92,'V30'!F92,'V31'!F92,'V32'!F92,'V33'!F92,'V34'!F92,'V35'!F92,'V36'!F92,'V37'!F92,'V38'!F92,'V39'!F92,'V40'!F92,'V41'!F92)) * 100</f>
        <v>114.35194323979675</v>
      </c>
      <c r="G94" s="18">
        <f>(G92 / AVERAGE('V27'!G92,'V28'!G92,'V29'!G92,'V30'!G92,'V31'!G92,'V32'!G92,'V33'!G92,'V34'!G92,'V35'!G92,'V36'!G92,'V37'!G92,'V38'!G92,'V39'!G92,'V40'!G92,'V41'!G92)) * 100</f>
        <v>86.709134117244872</v>
      </c>
      <c r="H94" s="14">
        <f>IFERROR((G94*0.6)+(F94*0.4),"")</f>
        <v>97.766257766265625</v>
      </c>
    </row>
    <row r="95" spans="1:11">
      <c r="A95" s="1">
        <v>10</v>
      </c>
      <c r="C95" s="2" t="s">
        <v>80</v>
      </c>
      <c r="D95" s="2" t="s">
        <v>5</v>
      </c>
      <c r="E95" s="2" t="s">
        <v>6</v>
      </c>
      <c r="F95" s="2" t="s">
        <v>7</v>
      </c>
      <c r="G95" s="2" t="s">
        <v>8</v>
      </c>
      <c r="H95" s="2" t="s">
        <v>9</v>
      </c>
      <c r="I95" s="2" t="s">
        <v>10</v>
      </c>
      <c r="J95" s="2" t="s">
        <v>11</v>
      </c>
      <c r="K95" s="2" t="s">
        <v>12</v>
      </c>
    </row>
    <row r="96" spans="1:11">
      <c r="B96" s="6" t="s">
        <v>137</v>
      </c>
      <c r="C96" s="2" t="s">
        <v>82</v>
      </c>
      <c r="D96" s="5" t="s">
        <v>83</v>
      </c>
      <c r="E96" s="7">
        <v>214</v>
      </c>
      <c r="F96" s="7">
        <v>7695</v>
      </c>
      <c r="G96" s="7">
        <v>926.8</v>
      </c>
      <c r="H96" s="8">
        <f>IFERROR(G96/F96,"")</f>
        <v>0.12044184535412605</v>
      </c>
      <c r="I96" s="18">
        <f>IFERROR(((E96/$B$112) / AVERAGE('V28'!E96/'V28'!$B$112, 'V29'!E96/'V29'!$B$112, 'V30'!E96/'V30'!$B$112, 'V31'!E96/'V31'!$B$112, 'V32'!E96/'V32'!$B$112, 'V33'!E96/'V33'!$B$112, 'V34'!E96/'V34'!$B$112, 'V35'!E96/'V35'!$B$112, 'V36'!E96/'V36'!$B$112, 'V37'!E96/'V37'!$B$112, 'V38'!E96/'V38'!$B$112, 'V39'!E96/'V39'!$B$112, 'V40'!E96/'V40'!$B$112, 'V41'!E96/'V41'!$B$112)) * 100,"")</f>
        <v>90.2511718572012</v>
      </c>
      <c r="J96" s="18">
        <f>IFERROR(((F96/$B$112) / AVERAGE('V28'!F96/'V28'!$B$112, 'V29'!F96/'V29'!$B$112, 'V30'!F96/'V30'!$B$112, 'V31'!F96/'V31'!$B$112, 'V32'!F96/'V32'!$B$112, 'V33'!F96/'V33'!$B$112, 'V34'!F96/'V34'!$B$112, 'V35'!F96/'V35'!$B$112, 'V36'!F96/'V36'!$B$112, 'V37'!F96/'V37'!$B$112, 'V38'!F96/'V38'!$B$112, 'V39'!F96/'V39'!$B$112, 'V40'!F96/'V40'!$B$112, 'V41'!F96/'V41'!$B$112)) * 100,"")</f>
        <v>90.172862579950092</v>
      </c>
      <c r="K96" s="18">
        <f>IFERROR(((G96/$B$112) / AVERAGE('V28'!G96/'V28'!$B$112, 'V29'!G96/'V29'!$B$112, 'V30'!G96/'V30'!$B$112, 'V31'!G96/'V31'!$B$112, 'V32'!G96/'V32'!$B$112, 'V33'!G96/'V33'!$B$112, 'V34'!G96/'V34'!$B$112, 'V35'!G96/'V35'!$B$112, 'V36'!G96/'V36'!$B$112, 'V37'!G96/'V37'!$B$112, 'V38'!G96/'V38'!$B$112, 'V39'!G96/'V39'!$B$112, 'V40'!G96/'V40'!$B$112, 'V41'!G96/'V41'!$B$112)) * 100,"")</f>
        <v>67.849771569828476</v>
      </c>
    </row>
    <row r="97" spans="2:8">
      <c r="C97" s="2" t="s">
        <v>84</v>
      </c>
    </row>
    <row r="98" spans="2:8">
      <c r="C98" s="2" t="s">
        <v>85</v>
      </c>
    </row>
    <row r="99" spans="2:8">
      <c r="C99" s="2" t="s">
        <v>86</v>
      </c>
    </row>
    <row r="100" spans="2:8">
      <c r="C100" s="9" t="s">
        <v>19</v>
      </c>
      <c r="D100" s="10"/>
      <c r="E100" s="11">
        <f>SUM(E96:E99)</f>
        <v>214</v>
      </c>
      <c r="F100" s="11">
        <f>SUM(F96:F99)</f>
        <v>7695</v>
      </c>
      <c r="G100" s="11">
        <f>SUM(G96:G99)</f>
        <v>926.8</v>
      </c>
      <c r="H100" s="12">
        <f>IFERROR(G100/F100,"")</f>
        <v>0.12044184535412605</v>
      </c>
    </row>
    <row r="101" spans="2:8">
      <c r="B101" s="5" t="s">
        <v>20</v>
      </c>
      <c r="E101" s="16">
        <f>IFERROR((E100-('V41'!E100))/('V41'!E100),"")</f>
        <v>-8.5470085470085472E-2</v>
      </c>
      <c r="F101" s="16">
        <f>IFERROR((F100-('V41'!F100))/('V41'!F100),"")</f>
        <v>-8.6538461538461536E-2</v>
      </c>
      <c r="G101" s="16">
        <f>IFERROR((G100-('V41'!G100))/('V41'!G100),"")</f>
        <v>-0.14675013809611498</v>
      </c>
      <c r="H101" s="16">
        <f>IFERROR(H100-('V41'!H100),"")</f>
        <v>-8.4992752536612315E-3</v>
      </c>
    </row>
    <row r="102" spans="2:8">
      <c r="B102" s="5" t="s">
        <v>21</v>
      </c>
      <c r="E102" s="13">
        <f>E100/$B$112</f>
        <v>1.3545161086144692E-2</v>
      </c>
      <c r="F102" s="13">
        <f>F100/$B$112</f>
        <v>0.48705614279384774</v>
      </c>
      <c r="G102" s="13">
        <f>G100/$B$112</f>
        <v>5.8661940629153739E-2</v>
      </c>
    </row>
    <row r="103" spans="2:8">
      <c r="B103" s="5" t="s">
        <v>22</v>
      </c>
      <c r="E103" s="8">
        <f>IFERROR((E102-'V41'!E102)/'V41'!E102,"")</f>
        <v>-9.1027074633632063E-2</v>
      </c>
      <c r="F103" s="8">
        <f>IFERROR((F102-'V41'!F102)/'V41'!F102,"")</f>
        <v>-9.2088958892237477E-2</v>
      </c>
      <c r="G103" s="8">
        <f>IFERROR((G102-'V41'!G102)/'V41'!G102,"")</f>
        <v>-0.15193476919572727</v>
      </c>
    </row>
    <row r="104" spans="2:8">
      <c r="B104" s="5" t="s">
        <v>23</v>
      </c>
      <c r="E104" s="18">
        <f>(E102 / AVERAGE('V27'!E102,'V28'!E102,'V29'!E102,'V30'!E102,'V31'!E102,'V32'!E102,'V33'!E102,'V34'!E102,'V35'!E102,'V36'!E102,'V37'!E102,'V38'!E102,'V39'!E102,'V40'!E102,'V41'!E102)) * 100</f>
        <v>90.929665406392019</v>
      </c>
      <c r="F104" s="18">
        <f>(F102 / AVERAGE('V27'!F102,'V28'!F102,'V29'!F102,'V30'!F102,'V31'!F102,'V32'!F102,'V33'!F102,'V34'!F102,'V35'!F102,'V36'!F102,'V37'!F102,'V38'!F102,'V39'!F102,'V40'!F102,'V41'!F102)) * 100</f>
        <v>90.849136820869063</v>
      </c>
      <c r="G104" s="18">
        <f>(G102 / AVERAGE('V27'!G102,'V28'!G102,'V29'!G102,'V30'!G102,'V31'!G102,'V32'!G102,'V33'!G102,'V34'!G102,'V35'!G102,'V36'!G102,'V37'!G102,'V38'!G102,'V39'!G102,'V40'!G102,'V41'!G102)) * 100</f>
        <v>68.176817230836988</v>
      </c>
      <c r="H104" s="14">
        <f>IFERROR((G104*0.6)+(F104*0.4),"")</f>
        <v>77.245745066849821</v>
      </c>
    </row>
    <row r="106" spans="2:8">
      <c r="B106" s="2" t="s">
        <v>87</v>
      </c>
      <c r="E106" s="15">
        <f>E10+E20+E30+E40+E50+E60+E70+E80+E90+E100</f>
        <v>2369</v>
      </c>
      <c r="F106" s="15">
        <f>F10+F20+F30+F40+F50+F60+F70+F80+F90+F100</f>
        <v>81529.41</v>
      </c>
      <c r="G106" s="15">
        <f>G10+G20+G30+G40+G50+G60+G70+G80+G90+G100</f>
        <v>18012.239999999998</v>
      </c>
      <c r="H106" s="16">
        <f>IFERROR(G106/F106,"")</f>
        <v>0.22092935543137129</v>
      </c>
    </row>
    <row r="107" spans="2:8">
      <c r="B107" s="5" t="s">
        <v>88</v>
      </c>
      <c r="E107" s="16">
        <f>IFERROR((E106-'V41'!E106)/'V41'!E106,"")</f>
        <v>0.13240917782026768</v>
      </c>
      <c r="F107" s="16">
        <f>IFERROR((F106-'V41'!F106)/'V41'!F106,"")</f>
        <v>0.13214567111187162</v>
      </c>
      <c r="G107" s="16">
        <f>IFERROR((G106-'V41'!G106)/'V41'!G106,"")</f>
        <v>0.14512403755743183</v>
      </c>
      <c r="H107" s="16">
        <f>IFERROR(H106-'V41'!H106,"")</f>
        <v>2.5039227536309272E-3</v>
      </c>
    </row>
    <row r="108" spans="2:8">
      <c r="B108" s="5" t="s">
        <v>21</v>
      </c>
      <c r="E108" s="13">
        <f>E106/$B$112</f>
        <v>0.14994619912652699</v>
      </c>
      <c r="F108" s="13">
        <f>F106/$B$112</f>
        <v>5.1604158491043739</v>
      </c>
      <c r="G108" s="13">
        <f>G106/$B$112</f>
        <v>1.140087347300462</v>
      </c>
    </row>
    <row r="109" spans="2:8">
      <c r="B109" s="5" t="s">
        <v>22</v>
      </c>
      <c r="E109" s="8">
        <f>IFERROR((E108-'V41'!E108)/'V41'!E108,"")</f>
        <v>0.12552828149323766</v>
      </c>
      <c r="F109" s="8">
        <f>IFERROR((F108-'V41'!F108)/'V41'!F108,"")</f>
        <v>0.1252663759395988</v>
      </c>
      <c r="G109" s="8">
        <f>IFERROR((G108-'V41'!G108)/'V41'!G108,"")</f>
        <v>0.13816588149657277</v>
      </c>
    </row>
    <row r="110" spans="2:8">
      <c r="B110" s="5" t="s">
        <v>23</v>
      </c>
      <c r="E110" s="18">
        <f>IFERROR((E108 / AVERAGE('V27'!E108,'V28'!E108,'V29'!E108,'V30'!E108,'V31'!E108,'V32'!E108,'V33'!E108,'V34'!E108,'V35'!E108,'V36'!E108,'V37'!E108,'V38'!E108,'V39'!E108,'V40'!E108,'V41'!E108)) * 100,"")</f>
        <v>106.94790694914849</v>
      </c>
      <c r="F110" s="18">
        <f>IFERROR((F108 / AVERAGE('V27'!F108,'V28'!F108,'V29'!F108,'V30'!F108,'V31'!F108,'V32'!F108,'V33'!F108,'V34'!F108,'V35'!F108,'V36'!F108,'V37'!F108,'V38'!F108,'V39'!F108,'V40'!F108,'V41'!F108)) * 100,"")</f>
        <v>110.7557989069351</v>
      </c>
      <c r="G110" s="18">
        <f>IFERROR((G108 / AVERAGE('V27'!G108,'V28'!G108,'V29'!G108,'V30'!G108,'V31'!G108,'V32'!G108,'V33'!G108,'V34'!G108,'V35'!G108,'V36'!G108,'V37'!G108,'V38'!G108,'V39'!G108,'V40'!G108,'V41'!G108)) * 100,"")</f>
        <v>126.00550242923872</v>
      </c>
      <c r="H110" s="14">
        <f>IFERROR((G110*0.6)+(F110*0.4),"")</f>
        <v>119.90562102031727</v>
      </c>
    </row>
    <row r="111" spans="2:8">
      <c r="B111" s="5" t="s">
        <v>89</v>
      </c>
      <c r="C111" s="5" t="s">
        <v>90</v>
      </c>
      <c r="D111" s="5" t="s">
        <v>91</v>
      </c>
    </row>
    <row r="112" spans="2:8">
      <c r="B112" s="17">
        <v>15799</v>
      </c>
      <c r="C112" s="17">
        <f>B112-'V41'!$B$112</f>
        <v>96</v>
      </c>
      <c r="D112" s="19">
        <f>C112/'V41'!$B$112</f>
        <v>6.1134815003502513E-3</v>
      </c>
    </row>
  </sheetData>
  <conditionalFormatting sqref="E11:G11">
    <cfRule type="cellIs" dxfId="21" priority="1" operator="lessThan">
      <formula>0</formula>
    </cfRule>
    <cfRule type="cellIs" dxfId="20" priority="2" operator="greaterThan">
      <formula>0</formula>
    </cfRule>
  </conditionalFormatting>
  <conditionalFormatting sqref="E21:G21">
    <cfRule type="cellIs" dxfId="19" priority="3" operator="lessThan">
      <formula>0</formula>
    </cfRule>
    <cfRule type="cellIs" dxfId="18" priority="4" operator="greaterThan">
      <formula>0</formula>
    </cfRule>
  </conditionalFormatting>
  <conditionalFormatting sqref="E31:G31">
    <cfRule type="cellIs" dxfId="17" priority="5" operator="lessThan">
      <formula>0</formula>
    </cfRule>
    <cfRule type="cellIs" dxfId="16" priority="6" operator="greaterThan">
      <formula>0</formula>
    </cfRule>
  </conditionalFormatting>
  <conditionalFormatting sqref="E41:G41">
    <cfRule type="cellIs" dxfId="15" priority="7" operator="lessThan">
      <formula>0</formula>
    </cfRule>
    <cfRule type="cellIs" dxfId="14" priority="8" operator="greaterThan">
      <formula>0</formula>
    </cfRule>
  </conditionalFormatting>
  <conditionalFormatting sqref="E51:G51">
    <cfRule type="cellIs" dxfId="13" priority="9" operator="lessThan">
      <formula>0</formula>
    </cfRule>
    <cfRule type="cellIs" dxfId="12" priority="10" operator="greaterThan">
      <formula>0</formula>
    </cfRule>
  </conditionalFormatting>
  <conditionalFormatting sqref="E61:G61">
    <cfRule type="cellIs" dxfId="11" priority="11" operator="lessThan">
      <formula>0</formula>
    </cfRule>
    <cfRule type="cellIs" dxfId="10" priority="12" operator="greaterThan">
      <formula>0</formula>
    </cfRule>
  </conditionalFormatting>
  <conditionalFormatting sqref="E71:G71">
    <cfRule type="cellIs" dxfId="9" priority="13" operator="lessThan">
      <formula>0</formula>
    </cfRule>
    <cfRule type="cellIs" dxfId="8" priority="14" operator="greaterThan">
      <formula>0</formula>
    </cfRule>
  </conditionalFormatting>
  <conditionalFormatting sqref="E81:G81">
    <cfRule type="cellIs" dxfId="7" priority="15" operator="lessThan">
      <formula>0</formula>
    </cfRule>
    <cfRule type="cellIs" dxfId="6" priority="16" operator="greaterThan">
      <formula>0</formula>
    </cfRule>
  </conditionalFormatting>
  <conditionalFormatting sqref="E91:G91">
    <cfRule type="cellIs" dxfId="5" priority="17" operator="lessThan">
      <formula>0</formula>
    </cfRule>
    <cfRule type="cellIs" dxfId="4" priority="18" operator="greaterThan">
      <formula>0</formula>
    </cfRule>
  </conditionalFormatting>
  <conditionalFormatting sqref="E101:G101">
    <cfRule type="cellIs" dxfId="3" priority="19" operator="lessThan">
      <formula>0</formula>
    </cfRule>
    <cfRule type="cellIs" dxfId="2" priority="20" operator="greaterThan">
      <formula>0</formula>
    </cfRule>
  </conditionalFormatting>
  <conditionalFormatting sqref="E107:G107">
    <cfRule type="cellIs" dxfId="1" priority="21" operator="lessThan">
      <formula>0</formula>
    </cfRule>
    <cfRule type="cellIs" dxfId="0" priority="22" operator="greaterThan">
      <formula>0</formula>
    </cfRule>
  </conditionalFormatting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Unknown</dc:creator>
  <cp:keywords/>
  <dc:description/>
  <cp:lastModifiedBy/>
  <cp:revision/>
  <dcterms:created xsi:type="dcterms:W3CDTF">2026-10-08T14:27:53Z</dcterms:created>
  <dcterms:modified xsi:type="dcterms:W3CDTF">2026-10-19T02:53:49Z</dcterms:modified>
  <cp:category/>
  <cp:contentStatus/>
</cp:coreProperties>
</file>